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ngga\Downloads\"/>
    </mc:Choice>
  </mc:AlternateContent>
  <xr:revisionPtr revIDLastSave="0" documentId="13_ncr:1_{5C5C1993-E4BB-46AD-BF4F-D7BFB3EF97D0}" xr6:coauthVersionLast="47" xr6:coauthVersionMax="47" xr10:uidLastSave="{00000000-0000-0000-0000-000000000000}"/>
  <bookViews>
    <workbookView xWindow="-120" yWindow="-120" windowWidth="20730" windowHeight="11760" tabRatio="500" activeTab="1" xr2:uid="{00000000-000D-0000-FFFF-FFFF00000000}"/>
  </bookViews>
  <sheets>
    <sheet name="Cover &amp; Penjelasan" sheetId="1" r:id="rId1"/>
    <sheet name="Data Kriteria &amp; Bobot" sheetId="2" r:id="rId2"/>
    <sheet name="Data Destinasi" sheetId="3" r:id="rId3"/>
    <sheet name="Perhitungan MFEP" sheetId="4" r:id="rId4"/>
    <sheet name="Analisis Sensitivitas" sheetId="5" r:id="rId5"/>
    <sheet name="Hasil &amp; Rekomendasi"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0" i="6" l="1"/>
  <c r="B3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I11" i="5"/>
  <c r="H11" i="5"/>
  <c r="E11" i="5"/>
  <c r="D11" i="5"/>
  <c r="C11" i="5"/>
  <c r="K11" i="5" s="1"/>
  <c r="J10" i="5"/>
  <c r="I10" i="5"/>
  <c r="E10" i="5"/>
  <c r="C10" i="5"/>
  <c r="H10" i="5" s="1"/>
  <c r="G9" i="5"/>
  <c r="F9" i="5"/>
  <c r="C9" i="5"/>
  <c r="J9" i="5" s="1"/>
  <c r="H8" i="5"/>
  <c r="G8" i="5"/>
  <c r="D8" i="5"/>
  <c r="C8" i="5"/>
  <c r="I7" i="5"/>
  <c r="H7" i="5"/>
  <c r="E7" i="5"/>
  <c r="D7" i="5"/>
  <c r="C7" i="5"/>
  <c r="K7" i="5" s="1"/>
  <c r="J6" i="5"/>
  <c r="I6" i="5"/>
  <c r="F6" i="5"/>
  <c r="E6" i="5"/>
  <c r="C6" i="5"/>
  <c r="H6" i="5" s="1"/>
  <c r="N25" i="4"/>
  <c r="M25" i="4"/>
  <c r="L25" i="4"/>
  <c r="K25" i="4"/>
  <c r="O25" i="4" s="1"/>
  <c r="J25" i="4"/>
  <c r="I25" i="4"/>
  <c r="G24" i="4"/>
  <c r="M24" i="4" s="1"/>
  <c r="E23" i="4"/>
  <c r="K23" i="4" s="1"/>
  <c r="C22" i="4"/>
  <c r="G20" i="4"/>
  <c r="M20" i="4" s="1"/>
  <c r="E19" i="4"/>
  <c r="K19" i="4" s="1"/>
  <c r="C18" i="4"/>
  <c r="G16" i="4"/>
  <c r="M16" i="4" s="1"/>
  <c r="H15" i="4"/>
  <c r="N15" i="4" s="1"/>
  <c r="E15" i="4"/>
  <c r="K15" i="4" s="1"/>
  <c r="C14" i="4"/>
  <c r="H13" i="4"/>
  <c r="N13" i="4" s="1"/>
  <c r="D12" i="4"/>
  <c r="J12" i="4" s="1"/>
  <c r="H10" i="4"/>
  <c r="N10" i="4" s="1"/>
  <c r="E10" i="4"/>
  <c r="K10" i="4" s="1"/>
  <c r="D10" i="4"/>
  <c r="J10" i="4" s="1"/>
  <c r="H8" i="4"/>
  <c r="N8" i="4" s="1"/>
  <c r="E8" i="4"/>
  <c r="K8" i="4" s="1"/>
  <c r="D8" i="4"/>
  <c r="J8" i="4" s="1"/>
  <c r="H6" i="4"/>
  <c r="N6" i="4" s="1"/>
  <c r="E6" i="4"/>
  <c r="K6" i="4" s="1"/>
  <c r="D6" i="4"/>
  <c r="J6" i="4" s="1"/>
  <c r="N4" i="4"/>
  <c r="M4" i="4"/>
  <c r="L4" i="4"/>
  <c r="K4" i="4"/>
  <c r="J4" i="4"/>
  <c r="I4" i="4"/>
  <c r="I24" i="3"/>
  <c r="H23" i="4" s="1"/>
  <c r="N23" i="4" s="1"/>
  <c r="H24" i="3"/>
  <c r="G24" i="3"/>
  <c r="F24" i="3"/>
  <c r="E21" i="4" s="1"/>
  <c r="K21" i="4" s="1"/>
  <c r="E24" i="3"/>
  <c r="D21" i="4" s="1"/>
  <c r="J21" i="4" s="1"/>
  <c r="D24" i="3"/>
  <c r="C24" i="4" s="1"/>
  <c r="E10" i="2"/>
  <c r="F9" i="2"/>
  <c r="F8" i="2"/>
  <c r="F7" i="2"/>
  <c r="F10" i="2" s="1"/>
  <c r="F6" i="2"/>
  <c r="F5" i="2"/>
  <c r="F4" i="2"/>
  <c r="F23" i="4" l="1"/>
  <c r="L23" i="4" s="1"/>
  <c r="F21" i="4"/>
  <c r="L21" i="4" s="1"/>
  <c r="F19" i="4"/>
  <c r="L19" i="4" s="1"/>
  <c r="F17" i="4"/>
  <c r="L17" i="4" s="1"/>
  <c r="F15" i="4"/>
  <c r="L15" i="4" s="1"/>
  <c r="F24" i="4"/>
  <c r="L24" i="4" s="1"/>
  <c r="F20" i="4"/>
  <c r="L20" i="4" s="1"/>
  <c r="F16" i="4"/>
  <c r="L16" i="4" s="1"/>
  <c r="F11" i="4"/>
  <c r="L11" i="4" s="1"/>
  <c r="F9" i="4"/>
  <c r="L9" i="4" s="1"/>
  <c r="F10" i="4"/>
  <c r="L10" i="4" s="1"/>
  <c r="F8" i="4"/>
  <c r="L8" i="4" s="1"/>
  <c r="F6" i="4"/>
  <c r="L6" i="4" s="1"/>
  <c r="F14" i="4"/>
  <c r="L14" i="4" s="1"/>
  <c r="F13" i="4"/>
  <c r="L13" i="4" s="1"/>
  <c r="F22" i="4"/>
  <c r="L22" i="4" s="1"/>
  <c r="F18" i="4"/>
  <c r="L18" i="4" s="1"/>
  <c r="F12" i="4"/>
  <c r="L12" i="4" s="1"/>
  <c r="F7" i="4"/>
  <c r="L7" i="4" s="1"/>
  <c r="H35" i="5"/>
  <c r="D35" i="5"/>
  <c r="K35" i="5"/>
  <c r="G35" i="5"/>
  <c r="J35" i="5"/>
  <c r="F35" i="5"/>
  <c r="I35" i="5"/>
  <c r="E35" i="5"/>
  <c r="I24" i="4"/>
  <c r="F5" i="4"/>
  <c r="L5" i="4" s="1"/>
  <c r="I25" i="5"/>
  <c r="E25" i="5"/>
  <c r="H25" i="5"/>
  <c r="D25" i="5"/>
  <c r="J25" i="5"/>
  <c r="G25" i="5"/>
  <c r="I14" i="4"/>
  <c r="F25" i="5"/>
  <c r="J29" i="5"/>
  <c r="F29" i="5"/>
  <c r="I29" i="5"/>
  <c r="E29" i="5"/>
  <c r="H29" i="5"/>
  <c r="D29" i="5"/>
  <c r="G29" i="5"/>
  <c r="I18" i="4"/>
  <c r="J33" i="5"/>
  <c r="F33" i="5"/>
  <c r="I33" i="5"/>
  <c r="E33" i="5"/>
  <c r="H33" i="5"/>
  <c r="D33" i="5"/>
  <c r="I22" i="4"/>
  <c r="K33" i="5"/>
  <c r="K25" i="5"/>
  <c r="G23" i="4"/>
  <c r="M23" i="4" s="1"/>
  <c r="G21" i="4"/>
  <c r="M21" i="4" s="1"/>
  <c r="G19" i="4"/>
  <c r="M19" i="4" s="1"/>
  <c r="G17" i="4"/>
  <c r="M17" i="4" s="1"/>
  <c r="G15" i="4"/>
  <c r="M15" i="4" s="1"/>
  <c r="G13" i="4"/>
  <c r="M13" i="4" s="1"/>
  <c r="C9" i="4"/>
  <c r="C11" i="4"/>
  <c r="D17" i="4"/>
  <c r="J17" i="4" s="1"/>
  <c r="H19" i="4"/>
  <c r="N19" i="4" s="1"/>
  <c r="K29" i="5"/>
  <c r="G5" i="4"/>
  <c r="M5" i="4" s="1"/>
  <c r="C7" i="4"/>
  <c r="G11" i="4"/>
  <c r="M11" i="4" s="1"/>
  <c r="D24" i="4"/>
  <c r="J24" i="4" s="1"/>
  <c r="D22" i="4"/>
  <c r="J22" i="4" s="1"/>
  <c r="D20" i="4"/>
  <c r="J20" i="4" s="1"/>
  <c r="D18" i="4"/>
  <c r="J18" i="4" s="1"/>
  <c r="D16" i="4"/>
  <c r="J16" i="4" s="1"/>
  <c r="D14" i="4"/>
  <c r="J14" i="4" s="1"/>
  <c r="H24" i="4"/>
  <c r="N24" i="4" s="1"/>
  <c r="H22" i="4"/>
  <c r="N22" i="4" s="1"/>
  <c r="H20" i="4"/>
  <c r="N20" i="4" s="1"/>
  <c r="H18" i="4"/>
  <c r="N18" i="4" s="1"/>
  <c r="H16" i="4"/>
  <c r="N16" i="4" s="1"/>
  <c r="H14" i="4"/>
  <c r="N14" i="4" s="1"/>
  <c r="D5" i="4"/>
  <c r="J5" i="4" s="1"/>
  <c r="H5" i="4"/>
  <c r="N5" i="4" s="1"/>
  <c r="D7" i="4"/>
  <c r="J7" i="4" s="1"/>
  <c r="H7" i="4"/>
  <c r="N7" i="4" s="1"/>
  <c r="D9" i="4"/>
  <c r="J9" i="4" s="1"/>
  <c r="H9" i="4"/>
  <c r="N9" i="4" s="1"/>
  <c r="D11" i="4"/>
  <c r="J11" i="4" s="1"/>
  <c r="H11" i="4"/>
  <c r="N11" i="4" s="1"/>
  <c r="G12" i="4"/>
  <c r="M12" i="4" s="1"/>
  <c r="D13" i="4"/>
  <c r="J13" i="4" s="1"/>
  <c r="G14" i="4"/>
  <c r="M14" i="4" s="1"/>
  <c r="C16" i="4"/>
  <c r="E17" i="4"/>
  <c r="K17" i="4" s="1"/>
  <c r="G18" i="4"/>
  <c r="M18" i="4" s="1"/>
  <c r="C20" i="4"/>
  <c r="G22" i="4"/>
  <c r="M22" i="4" s="1"/>
  <c r="C12" i="5"/>
  <c r="J8" i="5"/>
  <c r="F8" i="5"/>
  <c r="F11" i="5"/>
  <c r="F12" i="5" s="1"/>
  <c r="I8" i="5"/>
  <c r="E8" i="5"/>
  <c r="E12" i="5" s="1"/>
  <c r="F7" i="5"/>
  <c r="K8" i="5"/>
  <c r="F10" i="5"/>
  <c r="C23" i="4"/>
  <c r="C21" i="4"/>
  <c r="C19" i="4"/>
  <c r="C17" i="4"/>
  <c r="C15" i="4"/>
  <c r="C13" i="4"/>
  <c r="C5" i="4"/>
  <c r="G7" i="4"/>
  <c r="M7" i="4" s="1"/>
  <c r="G9" i="4"/>
  <c r="M9" i="4" s="1"/>
  <c r="E24" i="4"/>
  <c r="K24" i="4" s="1"/>
  <c r="E22" i="4"/>
  <c r="K22" i="4" s="1"/>
  <c r="E20" i="4"/>
  <c r="K20" i="4" s="1"/>
  <c r="E18" i="4"/>
  <c r="K18" i="4" s="1"/>
  <c r="E16" i="4"/>
  <c r="K16" i="4" s="1"/>
  <c r="E14" i="4"/>
  <c r="K14" i="4" s="1"/>
  <c r="E12" i="4"/>
  <c r="K12" i="4" s="1"/>
  <c r="E5" i="4"/>
  <c r="K5" i="4" s="1"/>
  <c r="C6" i="4"/>
  <c r="G6" i="4"/>
  <c r="M6" i="4" s="1"/>
  <c r="E7" i="4"/>
  <c r="K7" i="4" s="1"/>
  <c r="C8" i="4"/>
  <c r="G8" i="4"/>
  <c r="M8" i="4" s="1"/>
  <c r="E9" i="4"/>
  <c r="K9" i="4" s="1"/>
  <c r="C10" i="4"/>
  <c r="G10" i="4"/>
  <c r="M10" i="4" s="1"/>
  <c r="E11" i="4"/>
  <c r="K11" i="4" s="1"/>
  <c r="C12" i="4"/>
  <c r="H12" i="4"/>
  <c r="N12" i="4" s="1"/>
  <c r="E13" i="4"/>
  <c r="K13" i="4" s="1"/>
  <c r="D15" i="4"/>
  <c r="J15" i="4" s="1"/>
  <c r="H17" i="4"/>
  <c r="N17" i="4" s="1"/>
  <c r="D19" i="4"/>
  <c r="J19" i="4" s="1"/>
  <c r="H21" i="4"/>
  <c r="N21" i="4" s="1"/>
  <c r="D23" i="4"/>
  <c r="J23" i="4" s="1"/>
  <c r="I12" i="5"/>
  <c r="I9" i="5"/>
  <c r="E9" i="5"/>
  <c r="H9" i="5"/>
  <c r="H12" i="5" s="1"/>
  <c r="D9" i="5"/>
  <c r="K9" i="5"/>
  <c r="G33" i="5"/>
  <c r="G6" i="5"/>
  <c r="K6" i="5"/>
  <c r="K12" i="5" s="1"/>
  <c r="J7" i="5"/>
  <c r="J12" i="5" s="1"/>
  <c r="G10" i="5"/>
  <c r="K10" i="5"/>
  <c r="J11" i="5"/>
  <c r="D6" i="5"/>
  <c r="G7" i="5"/>
  <c r="D10" i="5"/>
  <c r="G11" i="5"/>
  <c r="K23" i="5" l="1"/>
  <c r="G23" i="5"/>
  <c r="J23" i="5"/>
  <c r="F23" i="5"/>
  <c r="D23" i="5"/>
  <c r="I23" i="5"/>
  <c r="I12" i="4"/>
  <c r="O12" i="4" s="1"/>
  <c r="H23" i="5"/>
  <c r="E23" i="5"/>
  <c r="I30" i="5"/>
  <c r="E30" i="5"/>
  <c r="H30" i="5"/>
  <c r="D30" i="5"/>
  <c r="K30" i="5"/>
  <c r="G30" i="5"/>
  <c r="J30" i="5"/>
  <c r="F30" i="5"/>
  <c r="I19" i="4"/>
  <c r="O19" i="4" s="1"/>
  <c r="M29" i="5"/>
  <c r="L29" i="5"/>
  <c r="J24" i="5"/>
  <c r="F24" i="5"/>
  <c r="I24" i="5"/>
  <c r="E24" i="5"/>
  <c r="G24" i="5"/>
  <c r="D24" i="5"/>
  <c r="K24" i="5"/>
  <c r="H24" i="5"/>
  <c r="I13" i="4"/>
  <c r="O13" i="4" s="1"/>
  <c r="K32" i="5"/>
  <c r="G32" i="5"/>
  <c r="J32" i="5"/>
  <c r="F32" i="5"/>
  <c r="I32" i="5"/>
  <c r="E32" i="5"/>
  <c r="H32" i="5"/>
  <c r="I21" i="4"/>
  <c r="O21" i="4" s="1"/>
  <c r="D32" i="5"/>
  <c r="H27" i="5"/>
  <c r="D27" i="5"/>
  <c r="K27" i="5"/>
  <c r="G27" i="5"/>
  <c r="J27" i="5"/>
  <c r="F27" i="5"/>
  <c r="I16" i="4"/>
  <c r="O16" i="4" s="1"/>
  <c r="I27" i="5"/>
  <c r="E27" i="5"/>
  <c r="H22" i="5"/>
  <c r="D22" i="5"/>
  <c r="K22" i="5"/>
  <c r="G22" i="5"/>
  <c r="I22" i="5"/>
  <c r="F22" i="5"/>
  <c r="E22" i="5"/>
  <c r="J22" i="5"/>
  <c r="I11" i="4"/>
  <c r="O11" i="4" s="1"/>
  <c r="M33" i="5"/>
  <c r="L33" i="5"/>
  <c r="G12" i="5"/>
  <c r="K19" i="5"/>
  <c r="G19" i="5"/>
  <c r="J19" i="5"/>
  <c r="F19" i="5"/>
  <c r="H19" i="5"/>
  <c r="E19" i="5"/>
  <c r="D19" i="5"/>
  <c r="I8" i="4"/>
  <c r="O8" i="4" s="1"/>
  <c r="I19" i="5"/>
  <c r="H26" i="5"/>
  <c r="D26" i="5"/>
  <c r="K26" i="5"/>
  <c r="G26" i="5"/>
  <c r="E26" i="5"/>
  <c r="J26" i="5"/>
  <c r="I26" i="5"/>
  <c r="I15" i="4"/>
  <c r="O15" i="4" s="1"/>
  <c r="F26" i="5"/>
  <c r="I34" i="5"/>
  <c r="E34" i="5"/>
  <c r="H34" i="5"/>
  <c r="D34" i="5"/>
  <c r="K34" i="5"/>
  <c r="G34" i="5"/>
  <c r="F34" i="5"/>
  <c r="J34" i="5"/>
  <c r="I23" i="4"/>
  <c r="O23" i="4" s="1"/>
  <c r="H31" i="5"/>
  <c r="D31" i="5"/>
  <c r="K31" i="5"/>
  <c r="G31" i="5"/>
  <c r="J31" i="5"/>
  <c r="F31" i="5"/>
  <c r="I31" i="5"/>
  <c r="I20" i="4"/>
  <c r="O20" i="4" s="1"/>
  <c r="E31" i="5"/>
  <c r="H18" i="5"/>
  <c r="D18" i="5"/>
  <c r="K18" i="5"/>
  <c r="G18" i="5"/>
  <c r="E18" i="5"/>
  <c r="J18" i="5"/>
  <c r="I18" i="5"/>
  <c r="I7" i="4"/>
  <c r="O7" i="4" s="1"/>
  <c r="F18" i="5"/>
  <c r="J20" i="5"/>
  <c r="F20" i="5"/>
  <c r="I20" i="5"/>
  <c r="E20" i="5"/>
  <c r="K20" i="5"/>
  <c r="H20" i="5"/>
  <c r="G20" i="5"/>
  <c r="D20" i="5"/>
  <c r="I9" i="4"/>
  <c r="O9" i="4" s="1"/>
  <c r="O18" i="4"/>
  <c r="M25" i="5"/>
  <c r="L25" i="5"/>
  <c r="L35" i="5"/>
  <c r="M35" i="5"/>
  <c r="J16" i="5"/>
  <c r="I16" i="5"/>
  <c r="E16" i="5"/>
  <c r="G16" i="5"/>
  <c r="F16" i="5"/>
  <c r="K16" i="5"/>
  <c r="D16" i="5"/>
  <c r="I5" i="4"/>
  <c r="O5" i="4" s="1"/>
  <c r="H16" i="5"/>
  <c r="I17" i="5"/>
  <c r="E17" i="5"/>
  <c r="H17" i="5"/>
  <c r="D17" i="5"/>
  <c r="J17" i="5"/>
  <c r="G17" i="5"/>
  <c r="F17" i="5"/>
  <c r="K17" i="5"/>
  <c r="I6" i="4"/>
  <c r="O6" i="4" s="1"/>
  <c r="D12" i="5"/>
  <c r="I21" i="5"/>
  <c r="E21" i="5"/>
  <c r="H21" i="5"/>
  <c r="D21" i="5"/>
  <c r="F21" i="5"/>
  <c r="K21" i="5"/>
  <c r="J21" i="5"/>
  <c r="I10" i="4"/>
  <c r="O10" i="4" s="1"/>
  <c r="G21" i="5"/>
  <c r="K28" i="5"/>
  <c r="G28" i="5"/>
  <c r="J28" i="5"/>
  <c r="F28" i="5"/>
  <c r="I28" i="5"/>
  <c r="E28" i="5"/>
  <c r="D28" i="5"/>
  <c r="H28" i="5"/>
  <c r="I17" i="4"/>
  <c r="O17" i="4" s="1"/>
  <c r="O22" i="4"/>
  <c r="O14" i="4"/>
  <c r="O24" i="4"/>
  <c r="D11" i="6" l="1"/>
  <c r="P11" i="4"/>
  <c r="D17" i="6"/>
  <c r="P17" i="4"/>
  <c r="M17" i="5"/>
  <c r="L17" i="5"/>
  <c r="N25" i="5"/>
  <c r="O25" i="5" s="1"/>
  <c r="D7" i="6"/>
  <c r="P7" i="4"/>
  <c r="D8" i="6"/>
  <c r="P8" i="4"/>
  <c r="N29" i="5"/>
  <c r="O29" i="5" s="1"/>
  <c r="D12" i="6"/>
  <c r="P12" i="4"/>
  <c r="M20" i="5"/>
  <c r="L20" i="5"/>
  <c r="L31" i="5"/>
  <c r="M31" i="5"/>
  <c r="N31" i="5" s="1"/>
  <c r="O31" i="5" s="1"/>
  <c r="D24" i="6"/>
  <c r="P24" i="4"/>
  <c r="B39" i="6"/>
  <c r="B38" i="6"/>
  <c r="D5" i="6"/>
  <c r="B37" i="6"/>
  <c r="B36" i="6"/>
  <c r="P5" i="4"/>
  <c r="N35" i="5"/>
  <c r="O35" i="5" s="1"/>
  <c r="D18" i="6"/>
  <c r="P18" i="4"/>
  <c r="D20" i="6"/>
  <c r="P20" i="4"/>
  <c r="D23" i="6"/>
  <c r="P23" i="4"/>
  <c r="M26" i="5"/>
  <c r="N26" i="5" s="1"/>
  <c r="O26" i="5" s="1"/>
  <c r="L26" i="5"/>
  <c r="M19" i="5"/>
  <c r="N19" i="5" s="1"/>
  <c r="O19" i="5" s="1"/>
  <c r="L19" i="5"/>
  <c r="M32" i="5"/>
  <c r="N32" i="5" s="1"/>
  <c r="O32" i="5" s="1"/>
  <c r="L32" i="5"/>
  <c r="M24" i="5"/>
  <c r="N24" i="5" s="1"/>
  <c r="O24" i="5" s="1"/>
  <c r="L24" i="5"/>
  <c r="D19" i="6"/>
  <c r="P19" i="4"/>
  <c r="D22" i="6"/>
  <c r="P22" i="4"/>
  <c r="D6" i="6"/>
  <c r="P6" i="4"/>
  <c r="D15" i="6"/>
  <c r="P15" i="4"/>
  <c r="L27" i="5"/>
  <c r="M27" i="5"/>
  <c r="D14" i="6"/>
  <c r="P14" i="4"/>
  <c r="M28" i="5"/>
  <c r="N28" i="5" s="1"/>
  <c r="O28" i="5" s="1"/>
  <c r="L28" i="5"/>
  <c r="D10" i="6"/>
  <c r="P10" i="4"/>
  <c r="M21" i="5"/>
  <c r="N21" i="5" s="1"/>
  <c r="O21" i="5" s="1"/>
  <c r="L21" i="5"/>
  <c r="M16" i="5"/>
  <c r="N16" i="5" s="1"/>
  <c r="O16" i="5" s="1"/>
  <c r="L16" i="5"/>
  <c r="D9" i="6"/>
  <c r="P9" i="4"/>
  <c r="L18" i="5"/>
  <c r="M18" i="5"/>
  <c r="M34" i="5"/>
  <c r="N34" i="5" s="1"/>
  <c r="O34" i="5" s="1"/>
  <c r="L34" i="5"/>
  <c r="N33" i="5"/>
  <c r="O33" i="5" s="1"/>
  <c r="L22" i="5"/>
  <c r="M22" i="5"/>
  <c r="D16" i="6"/>
  <c r="P16" i="4"/>
  <c r="D21" i="6"/>
  <c r="P21" i="4"/>
  <c r="D13" i="6"/>
  <c r="P13" i="4"/>
  <c r="M30" i="5"/>
  <c r="N30" i="5" s="1"/>
  <c r="O30" i="5" s="1"/>
  <c r="L30" i="5"/>
  <c r="L23" i="5"/>
  <c r="M23" i="5"/>
  <c r="N23" i="5" s="1"/>
  <c r="O23" i="5" s="1"/>
  <c r="A16" i="6" l="1"/>
  <c r="C27" i="5"/>
  <c r="A24" i="6"/>
  <c r="C35" i="5"/>
  <c r="A17" i="6"/>
  <c r="C28" i="5"/>
  <c r="A9" i="6"/>
  <c r="C20" i="5"/>
  <c r="N27" i="5"/>
  <c r="O27" i="5" s="1"/>
  <c r="A6" i="6"/>
  <c r="C17" i="5"/>
  <c r="A19" i="6"/>
  <c r="C30" i="5"/>
  <c r="A20" i="6"/>
  <c r="C31" i="5"/>
  <c r="N20" i="5"/>
  <c r="O20" i="5" s="1"/>
  <c r="A8" i="6"/>
  <c r="C19" i="5"/>
  <c r="A13" i="6"/>
  <c r="C24" i="5"/>
  <c r="A21" i="6"/>
  <c r="C32" i="5"/>
  <c r="N22" i="5"/>
  <c r="O22" i="5" s="1"/>
  <c r="A5" i="6"/>
  <c r="C16" i="5"/>
  <c r="A12" i="6"/>
  <c r="C23" i="5"/>
  <c r="A11" i="6"/>
  <c r="C22" i="5"/>
  <c r="N18" i="5"/>
  <c r="O18" i="5" s="1"/>
  <c r="A10" i="6"/>
  <c r="C21" i="5"/>
  <c r="A14" i="6"/>
  <c r="C25" i="5"/>
  <c r="A15" i="6"/>
  <c r="C26" i="5"/>
  <c r="A22" i="6"/>
  <c r="C33" i="5"/>
  <c r="A23" i="6"/>
  <c r="C34" i="5"/>
  <c r="A18" i="6"/>
  <c r="C29" i="5"/>
  <c r="A7" i="6"/>
  <c r="C18" i="5"/>
  <c r="N17" i="5"/>
  <c r="O17" i="5" s="1"/>
</calcChain>
</file>

<file path=xl/sharedStrings.xml><?xml version="1.0" encoding="utf-8"?>
<sst xmlns="http://schemas.openxmlformats.org/spreadsheetml/2006/main" count="430" uniqueCount="304">
  <si>
    <t>PERHITUNGAN MANUAL MFEP
Optimasi Smart Model Rekomendasi Wisata Gastronomi Terbaik
Kota Surakarta</t>
  </si>
  <si>
    <t>Metode: Multi Factor Evaluation Process (MFEP) | TKT Level 2 | Penelitian Dosen Pemula 2026</t>
  </si>
  <si>
    <t>No</t>
  </si>
  <si>
    <t>Nama Sheet</t>
  </si>
  <si>
    <t>Deskripsi</t>
  </si>
  <si>
    <t>1</t>
  </si>
  <si>
    <t>Cover &amp; Penjelasan</t>
  </si>
  <si>
    <t>Halaman ini – indeks dan keterangan model</t>
  </si>
  <si>
    <t>2</t>
  </si>
  <si>
    <t>Data Kriteria &amp; Bobot</t>
  </si>
  <si>
    <t>Definisi 6 kriteria MFEP + bobot pakar (total = 1)</t>
  </si>
  <si>
    <t>3</t>
  </si>
  <si>
    <t>Data Destinasi</t>
  </si>
  <si>
    <t>20 destinasi gastronomi Surakarta + nilai per kriteria (skala 1-5)</t>
  </si>
  <si>
    <t>4</t>
  </si>
  <si>
    <t>Perhitungan MFEP</t>
  </si>
  <si>
    <t>Normalisasi → Weighted Score → Total Skor → Ranking</t>
  </si>
  <si>
    <t>5</t>
  </si>
  <si>
    <t>Analisis Sensitivitas</t>
  </si>
  <si>
    <t>Simulasi perubahan bobot ±20% terhadap ranking destinasi</t>
  </si>
  <si>
    <t>6</t>
  </si>
  <si>
    <t>Hasil &amp; Rekomendasi</t>
  </si>
  <si>
    <t>Ranking final, Top-5 prioritas pelestarian, visualisasi bar</t>
  </si>
  <si>
    <t>FORMULA MFEP</t>
  </si>
  <si>
    <t>Langkah 1 – Nilai Mentah (Raw Score)</t>
  </si>
  <si>
    <t>Setiap destinasi dinilai pada setiap kriteria dengan skala Likert 1–5.</t>
  </si>
  <si>
    <t>Langkah 2 – Normalisasi</t>
  </si>
  <si>
    <t>Nilai_Norm = Nilai_Destinasi / MAX(Nilai_Kriteria)  →  rentang [0,1]</t>
  </si>
  <si>
    <t>Langkah 3 – Weighted Score</t>
  </si>
  <si>
    <t>WS_ij = Nilai_Norm_ij × Bobot_j  (bobot dari kuesioner pakar, Σ bobot = 1)</t>
  </si>
  <si>
    <t>Langkah 4 – Total Skor MFEP</t>
  </si>
  <si>
    <t>Total_i = Σ WS_ij  (penjumlahan seluruh weighted score untuk destinasi i)</t>
  </si>
  <si>
    <t>Langkah 5 – Ranking</t>
  </si>
  <si>
    <t>RANK() berdasarkan Total Skor secara descending → peringkat 1 = terbaik</t>
  </si>
  <si>
    <t>DATA KRITERIA DAN BOBOT MFEP – WISATA GASTRONOMI SURAKARTA</t>
  </si>
  <si>
    <t>Kriteria</t>
  </si>
  <si>
    <t>Definisi Operasional</t>
  </si>
  <si>
    <t>Keterangan Pengukuran</t>
  </si>
  <si>
    <t>Bobot (Wj)</t>
  </si>
  <si>
    <t>% Bobot</t>
  </si>
  <si>
    <t>K1</t>
  </si>
  <si>
    <t>Keaslian Kuliner</t>
  </si>
  <si>
    <t>Tingkat orisinalitas resep, bahan baku, dan cara penyajian kuliner tradisional</t>
  </si>
  <si>
    <t>Observasi + penilaian pakar kuliner (1=modern, 5=sangat autentik)</t>
  </si>
  <si>
    <t>K2</t>
  </si>
  <si>
    <t>Nilai Budaya &amp; Sejarah</t>
  </si>
  <si>
    <t>Kekuatan narasi sejarah, identitas budaya Jawa, dan warisan leluhur pada kuliner</t>
  </si>
  <si>
    <t>Studi dokumen + wawancara komunitas (1=rendah, 5=sangat tinggi)</t>
  </si>
  <si>
    <t>K3</t>
  </si>
  <si>
    <t>Aksesibilitas Destinasi</t>
  </si>
  <si>
    <t>Kemudahan jangkauan lokasi: transportasi, jarak, parkir, jam operasional</t>
  </si>
  <si>
    <t>Data lapangan + rating aksesibilitas (1=sangat sulit, 5=sangat mudah)</t>
  </si>
  <si>
    <t>K4</t>
  </si>
  <si>
    <t>Daya Tarik Wisata</t>
  </si>
  <si>
    <t>Pengalaman wisata: ambiance, variasi menu, presentasi, dan ulasan pengunjung</t>
  </si>
  <si>
    <t>Review platform digital + observasi (1=rendah, 5=sangat tinggi)</t>
  </si>
  <si>
    <t>K5</t>
  </si>
  <si>
    <t>Dukungan Komunitas Lokal</t>
  </si>
  <si>
    <t>Keterlibatan komunitas lokal, pelaku UMKM, dan upaya kolektif pelestarian kuliner</t>
  </si>
  <si>
    <t>FGD komunitas + kuesioner stakeholder (1=minim, 5=sangat aktif)</t>
  </si>
  <si>
    <t>K6</t>
  </si>
  <si>
    <t>Potensi Ekonomi Lokal</t>
  </si>
  <si>
    <t>Kontribusi destinasi pada pendapatan masyarakat lokal dan ekosistem pariwisata</t>
  </si>
  <si>
    <t>Data ekonomi dinas + estimasi transaksi (1=rendah, 5=sangat besar)</t>
  </si>
  <si>
    <t>TOTAL BOBOT</t>
  </si>
  <si>
    <t>⚠  CATATAN: Bobot di kolom E (berwarna BIRU) adalah INPUT dari kuesioner pakar/stakeholder. Ubah nilai bobot sesuai hasil survei. Total bobot HARUS = 1.00. Semua formula di sheet lain akan otomatis terupdate.</t>
  </si>
  <si>
    <t>SKALA PENILAIAN LIKERT (1–5)</t>
  </si>
  <si>
    <t>Nilai</t>
  </si>
  <si>
    <t>Label</t>
  </si>
  <si>
    <t>Deskripsi Umum</t>
  </si>
  <si>
    <t>Contoh Interpretasi K1 (Keaslian)</t>
  </si>
  <si>
    <t>Sangat Rendah</t>
  </si>
  <si>
    <t>Tidak memenuhi kriteria</t>
  </si>
  <si>
    <t>Resep sudah berubah total / menggunakan bahan modern</t>
  </si>
  <si>
    <t>Rendah</t>
  </si>
  <si>
    <t>Sedikit memenuhi kriteria</t>
  </si>
  <si>
    <t>Resep dimodifikasi signifikan, hanya nama yang sama</t>
  </si>
  <si>
    <t>Cukup</t>
  </si>
  <si>
    <t>Cukup memenuhi kriteria</t>
  </si>
  <si>
    <t>Resep asli dengan beberapa adaptasi modern</t>
  </si>
  <si>
    <t>Tinggi</t>
  </si>
  <si>
    <t>Memenuhi kriteria dengan baik</t>
  </si>
  <si>
    <t>Resep dan bahan masih autentik dengan sedikit variasi</t>
  </si>
  <si>
    <t>Sangat Tinggi</t>
  </si>
  <si>
    <t>Sangat memenuhi kriteria</t>
  </si>
  <si>
    <t>Resep, bahan, penyajian 100% tradisional &amp; terdokumentasi</t>
  </si>
  <si>
    <t>DATA DESTINASI WISATA GASTRONOMI TRADISIONAL – KOTA SURAKARTA</t>
  </si>
  <si>
    <t>Nama Destinasi</t>
  </si>
  <si>
    <t>Jenis Kuliner</t>
  </si>
  <si>
    <t>K1
Keaslian</t>
  </si>
  <si>
    <t>K2
Nilai Budaya</t>
  </si>
  <si>
    <t>K3
Aksesibilitas</t>
  </si>
  <si>
    <t>K4
Daya Tarik</t>
  </si>
  <si>
    <t>K5
Dukungan
Komunitas</t>
  </si>
  <si>
    <t>K6
Potensi
Ekonomi</t>
  </si>
  <si>
    <t>D01</t>
  </si>
  <si>
    <t>Timlo Sastro</t>
  </si>
  <si>
    <t>Timlo/Soto Tradisional</t>
  </si>
  <si>
    <t>D02</t>
  </si>
  <si>
    <t>Nasi Liwet Bu Wongso Lemu</t>
  </si>
  <si>
    <t>Nasi Liwet</t>
  </si>
  <si>
    <t>D03</t>
  </si>
  <si>
    <t>Selat Solo Mbak Lies</t>
  </si>
  <si>
    <t>Selat Solo</t>
  </si>
  <si>
    <t>D04</t>
  </si>
  <si>
    <t>Soto Gading</t>
  </si>
  <si>
    <t>Soto Ayam Tradisional</t>
  </si>
  <si>
    <t>D05</t>
  </si>
  <si>
    <t>Wedangan Jadul Pak Gareng</t>
  </si>
  <si>
    <t>Wedangan/Angkringan</t>
  </si>
  <si>
    <t>D06</t>
  </si>
  <si>
    <t>Pasar Gede – Zona Kuliner</t>
  </si>
  <si>
    <t>Kuliner Pasar Tradisional</t>
  </si>
  <si>
    <t>D07</t>
  </si>
  <si>
    <t>Nasi Gudeg Bu Semi</t>
  </si>
  <si>
    <t>Gudeg Surakarta</t>
  </si>
  <si>
    <t>D08</t>
  </si>
  <si>
    <t>Dawet Telasih Bu Dermi</t>
  </si>
  <si>
    <t>Dawet/Minuman Tradisional</t>
  </si>
  <si>
    <t>D09</t>
  </si>
  <si>
    <t>Intip Goreng Pak Slamet</t>
  </si>
  <si>
    <t>Intip Goreng</t>
  </si>
  <si>
    <t>D10</t>
  </si>
  <si>
    <t>Sate Buntel Mbok Galak</t>
  </si>
  <si>
    <t>Sate Kambing</t>
  </si>
  <si>
    <t>D11</t>
  </si>
  <si>
    <t>Tengkleng Bu Edi</t>
  </si>
  <si>
    <t>Tengkleng Kambing</t>
  </si>
  <si>
    <t>D12</t>
  </si>
  <si>
    <t>Cabuk Rambak Pak Birin</t>
  </si>
  <si>
    <t>Cabuk Rambak</t>
  </si>
  <si>
    <t>D13</t>
  </si>
  <si>
    <t>Roti Mandarin Orion</t>
  </si>
  <si>
    <t>Bakpia/Kue Tradisional</t>
  </si>
  <si>
    <t>D14</t>
  </si>
  <si>
    <t>Wedang Ronde Pak Min</t>
  </si>
  <si>
    <t>Wedang Ronde</t>
  </si>
  <si>
    <t>D15</t>
  </si>
  <si>
    <t>Jenang Mirah</t>
  </si>
  <si>
    <t>Jenang Tradisional</t>
  </si>
  <si>
    <t>D16</t>
  </si>
  <si>
    <t>Gempol Pleret Bu Sari</t>
  </si>
  <si>
    <t>Minuman Tradisional</t>
  </si>
  <si>
    <t>D17</t>
  </si>
  <si>
    <t>Sego Pecel Bu Tun</t>
  </si>
  <si>
    <t>Nasi Pecel</t>
  </si>
  <si>
    <t>D18</t>
  </si>
  <si>
    <t>Garang Asem Bu Sulastri</t>
  </si>
  <si>
    <t>Garang Asem</t>
  </si>
  <si>
    <t>D19</t>
  </si>
  <si>
    <t>Bestik Jawa Pak Maryanto</t>
  </si>
  <si>
    <t>Bestik Jawa</t>
  </si>
  <si>
    <t>D20</t>
  </si>
  <si>
    <t>Pasar Triwindu – Kuliner Heritage</t>
  </si>
  <si>
    <t>Kuliner Heritage Antik</t>
  </si>
  <si>
    <t>MAX per Kriteria (untuk normalisasi)</t>
  </si>
  <si>
    <t>⚠  CATATAN: Nilai di kolom K1–K6 (berwarna BIRU) adalah INPUT penilaian dari pakar/observasi lapangan. Skala 1–5 sesuai rubrik di sheet "Data Kriteria &amp; Bobot". Baris MAX dihitung otomatis.</t>
  </si>
  <si>
    <t>PERHITUNGAN MFEP – MULTI FACTOR EVALUATION PROCESS</t>
  </si>
  <si>
    <t>NILAI NORMAL (Normalisasi = Nilai/MAX)</t>
  </si>
  <si>
    <t>WEIGHTED SCORE (Nilai_Norm × Bobot)</t>
  </si>
  <si>
    <t>HASIL</t>
  </si>
  <si>
    <t>N_K1
Keaslian</t>
  </si>
  <si>
    <t>N_K2
Budaya</t>
  </si>
  <si>
    <t>N_K3
Aksesib.</t>
  </si>
  <si>
    <t>N_K4
Dy.Tarik</t>
  </si>
  <si>
    <t>N_K5
Komunitas</t>
  </si>
  <si>
    <t>N_K6
Ekonomi</t>
  </si>
  <si>
    <t>WS_K1
Keaslian</t>
  </si>
  <si>
    <t>WS_K2
Budaya</t>
  </si>
  <si>
    <t>WS_K3
Aksesib.</t>
  </si>
  <si>
    <t>WS_K4
Dy.Tarik</t>
  </si>
  <si>
    <t>WS_K5
Komunitas</t>
  </si>
  <si>
    <t>WS_K6
Ekonomi</t>
  </si>
  <si>
    <t>Total
Skor MFEP</t>
  </si>
  <si>
    <t>Ranking</t>
  </si>
  <si>
    <t>BOBOT (Wj) →</t>
  </si>
  <si>
    <t>—</t>
  </si>
  <si>
    <t>TOTAL BOBOT CHECK</t>
  </si>
  <si>
    <t>ANALISIS SENSITIVITAS BOBOT – SIMULASI ±20% PER KRITERIA</t>
  </si>
  <si>
    <t>Analisis sensitivitas menguji stabilitas ranking saat bobot satu kriteria diubah ±20% (bobot lain dibagi proporsional agar total tetap = 1). Jika ranking Top-5 tidak berubah, model dinyatakan robust.</t>
  </si>
  <si>
    <t>BAGIAN A: BOBOT BASELINE DAN SKENARIO SIMULASI</t>
  </si>
  <si>
    <t>Nama</t>
  </si>
  <si>
    <t>Bobot Baseline</t>
  </si>
  <si>
    <t>Skenario 1
+20% K1</t>
  </si>
  <si>
    <t>Skenario 2
+20% K2</t>
  </si>
  <si>
    <t>Skenario 3
+20% K3</t>
  </si>
  <si>
    <t>Skenario 4
+20% K4</t>
  </si>
  <si>
    <t>Skenario 5
+20% K5</t>
  </si>
  <si>
    <t>Skenario 6
+20% K6</t>
  </si>
  <si>
    <t>Skenario 7
-20% K1</t>
  </si>
  <si>
    <t>Skenario 8
-20% K2</t>
  </si>
  <si>
    <t>Aksesibilitas</t>
  </si>
  <si>
    <t>Dukungan Komunitas</t>
  </si>
  <si>
    <t>Potensi Ekonomi</t>
  </si>
  <si>
    <t>TOTAL CHECK (harus = 1.00)</t>
  </si>
  <si>
    <t>BAGIAN B: RANKING TOP-5 DI BAWAH SETIAP SKENARIO BOBOT</t>
  </si>
  <si>
    <t>Rank
Baseline</t>
  </si>
  <si>
    <t>Rank
Skenario 1</t>
  </si>
  <si>
    <t>Rank
Skenario 2</t>
  </si>
  <si>
    <t>Rank
Skenario 3</t>
  </si>
  <si>
    <t>Rank
Skenario 4</t>
  </si>
  <si>
    <t>Rank
Skenario 5</t>
  </si>
  <si>
    <t>Rank
Skenario 6</t>
  </si>
  <si>
    <t>Rank
Skenario 7</t>
  </si>
  <si>
    <t>Rank
Skenario 8</t>
  </si>
  <si>
    <t>Min
Rank</t>
  </si>
  <si>
    <t>Max
Rank</t>
  </si>
  <si>
    <t>Rentang</t>
  </si>
  <si>
    <t>Stabilitas</t>
  </si>
  <si>
    <t>HASIL RANKING MFEP &amp; REKOMENDASI KEBIJAKAN PELESTARIAN KULINER TRADISIONAL SURAKARTA</t>
  </si>
  <si>
    <t>TABEL RANKING LENGKAP 20 DESTINASI</t>
  </si>
  <si>
    <t>Rank</t>
  </si>
  <si>
    <t>Kode</t>
  </si>
  <si>
    <t>Kategori
Prioritas</t>
  </si>
  <si>
    <t>Kekuatan
Utama</t>
  </si>
  <si>
    <t>Rekomendasi
Kebijakan</t>
  </si>
  <si>
    <t>Sumber Dana
Pelestarian</t>
  </si>
  <si>
    <t>Unggulan Heritage</t>
  </si>
  <si>
    <t>Keaslian &amp; budaya kuat</t>
  </si>
  <si>
    <t>Program Sertifikasi Kuliner Warisan Budaya</t>
  </si>
  <si>
    <t>APBD Kota + Kemenpar</t>
  </si>
  <si>
    <t>Nilai budaya &amp; komunitas</t>
  </si>
  <si>
    <t>Festival Gastronomi Tahunan &amp; promosi digital</t>
  </si>
  <si>
    <t>APBD + CSR</t>
  </si>
  <si>
    <t>Keaslian tinggi</t>
  </si>
  <si>
    <t>Dokumentasi resep &amp; sertifikasi autentisitas</t>
  </si>
  <si>
    <t>Hibah kebudayaan</t>
  </si>
  <si>
    <t>Prioritas A</t>
  </si>
  <si>
    <t>Aksesibilitas &amp; lokasi strategis</t>
  </si>
  <si>
    <t>Penetapan kawasan kuliner tradisional</t>
  </si>
  <si>
    <t>APBD Kota</t>
  </si>
  <si>
    <t>Komunitas aktif</t>
  </si>
  <si>
    <t>Pemberdayaan UMKM &amp; inkubasi kuliner</t>
  </si>
  <si>
    <t>Kemenparekraf</t>
  </si>
  <si>
    <t>Kekayaan varian kuliner</t>
  </si>
  <si>
    <t>Peta wisata gastronomi digital</t>
  </si>
  <si>
    <t>Dinas Pariwisata</t>
  </si>
  <si>
    <t>Prioritas B</t>
  </si>
  <si>
    <t>Keaslian terjaga</t>
  </si>
  <si>
    <t>Coaching kuliner tradisional</t>
  </si>
  <si>
    <t>Dana Desa/Kelurahan</t>
  </si>
  <si>
    <t>Tradisi kuat</t>
  </si>
  <si>
    <t>Pengembangan kemasan &amp; branding</t>
  </si>
  <si>
    <t>UMKM Center</t>
  </si>
  <si>
    <t>Produk unik</t>
  </si>
  <si>
    <t>Fasilitasi akses pasar modern</t>
  </si>
  <si>
    <t>Dinas Perdagangan</t>
  </si>
  <si>
    <t>Tradisi kuliner</t>
  </si>
  <si>
    <t>Standardisasi resep &amp; pelatihan</t>
  </si>
  <si>
    <t>Kemenpar</t>
  </si>
  <si>
    <t>Prioritas C</t>
  </si>
  <si>
    <t>Potensi berkembang</t>
  </si>
  <si>
    <t>Pendampingan pengembangan bisnis</t>
  </si>
  <si>
    <t>BPD/KUR</t>
  </si>
  <si>
    <t>Produk heritage</t>
  </si>
  <si>
    <t>Integrasi ke paket wisata kuliner</t>
  </si>
  <si>
    <t>Biro perjalanan</t>
  </si>
  <si>
    <t>Lokasi strategis</t>
  </si>
  <si>
    <t>Peningkatan branding &amp; media sosial</t>
  </si>
  <si>
    <t>Digital marketing</t>
  </si>
  <si>
    <t>Nilai tradisi</t>
  </si>
  <si>
    <t>Program magang kuliner tradisional</t>
  </si>
  <si>
    <t>Dinas Pendidikan</t>
  </si>
  <si>
    <t>Identitas lokal</t>
  </si>
  <si>
    <t>Dokumentasi digital resep</t>
  </si>
  <si>
    <t>Perpusnas</t>
  </si>
  <si>
    <t>Perlu Pembinaan</t>
  </si>
  <si>
    <t>Butuh dukungan</t>
  </si>
  <si>
    <t>Pendampingan intensif &amp; capacity building</t>
  </si>
  <si>
    <t>LPPM PT</t>
  </si>
  <si>
    <t>Potensi lokal</t>
  </si>
  <si>
    <t>Inovasi produk berbasis tradisi</t>
  </si>
  <si>
    <t>Hibah inovasi</t>
  </si>
  <si>
    <t>Kekhasan resep</t>
  </si>
  <si>
    <t>Pelatihan hygiene &amp; food safety</t>
  </si>
  <si>
    <t>BPOM</t>
  </si>
  <si>
    <t>Teknik memasak unik</t>
  </si>
  <si>
    <t>Promosi melalui food influencer</t>
  </si>
  <si>
    <t>Kolaborasi media</t>
  </si>
  <si>
    <t>Peluang heritage</t>
  </si>
  <si>
    <t>Revitalisasi &amp; dokumentasi sejarah</t>
  </si>
  <si>
    <t>Dana kebudayaan</t>
  </si>
  <si>
    <t>KETERANGAN KATEGORI PRIORITAS PELESTARIAN</t>
  </si>
  <si>
    <t>Skor MFEP ≥ 0.85 – Destinasi dengan nilai heritage tertinggi, perlu perlindungan dan promosi intensif</t>
  </si>
  <si>
    <t>Skor MFEP 0.75–0.84 – Destinasi potensial, butuh dukungan infrastruktur dan regulasi</t>
  </si>
  <si>
    <t>Skor MFEP 0.65–0.74 – Destinasi berkembang, perlu pembinaan UMKM dan branding</t>
  </si>
  <si>
    <t>Skor MFEP 0.55–0.64 – Destinasi rintisan, butuh pendampingan dan akses pasar</t>
  </si>
  <si>
    <t>Skor MFEP &lt; 0.55 – Destinasi berisiko, perlu intervensi khusus dan revitalisasi</t>
  </si>
  <si>
    <t>STATISTIK RINGKASAN MODEL</t>
  </si>
  <si>
    <t>Statistik</t>
  </si>
  <si>
    <t>Keterangan</t>
  </si>
  <si>
    <t>Total Destinasi Dievaluasi</t>
  </si>
  <si>
    <t>Jumlah destinasi dalam basis data</t>
  </si>
  <si>
    <t>Skor MFEP Tertinggi</t>
  </si>
  <si>
    <t>Destinasi terbaik berdasarkan bobot pakar</t>
  </si>
  <si>
    <t>Skor MFEP Terendah</t>
  </si>
  <si>
    <t>Destinasi yang membutuhkan pembinaan intensif</t>
  </si>
  <si>
    <t>Skor MFEP Rata-Rata</t>
  </si>
  <si>
    <t>Benchmark kualitas rata-rata destinasi gastronomi Surakarta</t>
  </si>
  <si>
    <t>Std Deviasi Skor</t>
  </si>
  <si>
    <t>Tingkat dispersi/variasi kualitas antar destinasi</t>
  </si>
  <si>
    <t>Jumlah Kategori Unggulan Heritage</t>
  </si>
  <si>
    <t>Destinasi yang layak mendapat perlindungan budaya prioritas</t>
  </si>
  <si>
    <t>📋 CATATAN PENGGUNAAN MODEL: Model ini berada pada TKT Level 2 (proof of concept). Hasil ranking bersifat indikatif dan harus divalidasi melalui FGD dengan pakar pariwisata, dinas terkait, dan komunitas kuliner Kota Surakarta sebelum dijadikan dasar kebijakan resmi. Bobot kriteria dapat diperbarui sesuai hasil kuesioner pakar yang lebih komprehensif.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</si>
</sst>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25" x14ac:knownFonts="1">
    <font>
      <sz val="11"/>
      <color theme="1"/>
      <name val="Calibri"/>
      <family val="2"/>
      <charset val="1"/>
    </font>
    <font>
      <b/>
      <sz val="14"/>
      <color rgb="FFFFFFFF"/>
      <name val="Arial"/>
      <charset val="1"/>
    </font>
    <font>
      <sz val="10"/>
      <color rgb="FFFFFFFF"/>
      <name val="Arial"/>
      <charset val="1"/>
    </font>
    <font>
      <b/>
      <sz val="11"/>
      <color rgb="FFFFFFFF"/>
      <name val="Arial"/>
      <charset val="1"/>
    </font>
    <font>
      <sz val="10"/>
      <color rgb="FF000000"/>
      <name val="Arial"/>
      <charset val="1"/>
    </font>
    <font>
      <b/>
      <sz val="10"/>
      <color rgb="FF000000"/>
      <name val="Arial"/>
      <charset val="1"/>
    </font>
    <font>
      <b/>
      <sz val="13"/>
      <color rgb="FFFFFFFF"/>
      <name val="Arial"/>
      <charset val="1"/>
    </font>
    <font>
      <sz val="10"/>
      <color rgb="FF0000FF"/>
      <name val="Arial"/>
      <charset val="1"/>
    </font>
    <font>
      <b/>
      <sz val="11"/>
      <color rgb="FF000000"/>
      <name val="Arial"/>
      <charset val="1"/>
    </font>
    <font>
      <b/>
      <sz val="11"/>
      <name val="Arial"/>
      <charset val="1"/>
    </font>
    <font>
      <i/>
      <sz val="9"/>
      <color rgb="FF7F0000"/>
      <name val="Arial"/>
      <charset val="1"/>
    </font>
    <font>
      <b/>
      <sz val="9"/>
      <color rgb="FFFFFFFF"/>
      <name val="Arial"/>
      <charset val="1"/>
    </font>
    <font>
      <b/>
      <sz val="10"/>
      <color rgb="FFFFFFFF"/>
      <name val="Arial"/>
      <charset val="1"/>
    </font>
    <font>
      <b/>
      <sz val="11"/>
      <color rgb="FF1F4E79"/>
      <name val="Arial"/>
      <charset val="1"/>
    </font>
    <font>
      <b/>
      <sz val="10"/>
      <color rgb="FF0000FF"/>
      <name val="Arial"/>
      <charset val="1"/>
    </font>
    <font>
      <sz val="9"/>
      <color rgb="FF000000"/>
      <name val="Arial"/>
      <charset val="1"/>
    </font>
    <font>
      <i/>
      <sz val="9"/>
      <name val="Arial"/>
      <charset val="1"/>
    </font>
    <font>
      <b/>
      <sz val="10"/>
      <name val="Arial"/>
      <charset val="1"/>
    </font>
    <font>
      <sz val="9"/>
      <name val="Arial"/>
      <charset val="1"/>
    </font>
    <font>
      <sz val="9"/>
      <color rgb="FFC00000"/>
      <name val="Arial"/>
      <charset val="1"/>
    </font>
    <font>
      <sz val="9"/>
      <color rgb="FF375623"/>
      <name val="Arial"/>
      <charset val="1"/>
    </font>
    <font>
      <b/>
      <sz val="9"/>
      <name val="Arial"/>
      <charset val="1"/>
    </font>
    <font>
      <b/>
      <sz val="12"/>
      <color rgb="FFFFFFFF"/>
      <name val="Arial"/>
      <charset val="1"/>
    </font>
    <font>
      <b/>
      <sz val="12"/>
      <name val="Arial"/>
      <charset val="1"/>
    </font>
    <font>
      <b/>
      <sz val="11"/>
      <color rgb="FFC00000"/>
      <name val="Arial"/>
      <charset val="1"/>
    </font>
  </fonts>
  <fills count="28">
    <fill>
      <patternFill patternType="none"/>
    </fill>
    <fill>
      <patternFill patternType="gray125"/>
    </fill>
    <fill>
      <patternFill patternType="solid">
        <fgColor rgb="FF1F4E79"/>
        <bgColor rgb="FF2E4057"/>
      </patternFill>
    </fill>
    <fill>
      <patternFill patternType="solid">
        <fgColor rgb="FF2E75B6"/>
        <bgColor rgb="FF0066CC"/>
      </patternFill>
    </fill>
    <fill>
      <patternFill patternType="solid">
        <fgColor rgb="FF2E4057"/>
        <bgColor rgb="FF1F4E79"/>
      </patternFill>
    </fill>
    <fill>
      <patternFill patternType="solid">
        <fgColor rgb="FFD6E4F0"/>
        <bgColor rgb="FFD0E4F7"/>
      </patternFill>
    </fill>
    <fill>
      <patternFill patternType="solid">
        <fgColor rgb="FFEBF3FB"/>
        <bgColor rgb="FFE8F0F8"/>
      </patternFill>
    </fill>
    <fill>
      <patternFill patternType="solid">
        <fgColor rgb="FFFFFFFF"/>
        <bgColor rgb="FFF8FBFE"/>
      </patternFill>
    </fill>
    <fill>
      <patternFill patternType="solid">
        <fgColor rgb="FF70AD47"/>
        <bgColor rgb="FF339966"/>
      </patternFill>
    </fill>
    <fill>
      <patternFill patternType="solid">
        <fgColor rgb="FFFFF2CC"/>
        <bgColor rgb="FFFFF3CD"/>
      </patternFill>
    </fill>
    <fill>
      <patternFill patternType="solid">
        <fgColor rgb="FFFFE6E6"/>
        <bgColor rgb="FFFCE4D6"/>
      </patternFill>
    </fill>
    <fill>
      <patternFill patternType="solid">
        <fgColor rgb="FFFFF3E6"/>
        <bgColor rgb="FFFFFDE6"/>
      </patternFill>
    </fill>
    <fill>
      <patternFill patternType="solid">
        <fgColor rgb="FFFFFDE6"/>
        <bgColor rgb="FFFFF3E6"/>
      </patternFill>
    </fill>
    <fill>
      <patternFill patternType="solid">
        <fgColor rgb="FFE6F3E6"/>
        <bgColor rgb="FFE2EFDA"/>
      </patternFill>
    </fill>
    <fill>
      <patternFill patternType="solid">
        <fgColor rgb="FFE6F0FF"/>
        <bgColor rgb="FFE8F0F8"/>
      </patternFill>
    </fill>
    <fill>
      <patternFill patternType="solid">
        <fgColor rgb="FFF2F2F2"/>
        <bgColor rgb="FFEBF3FB"/>
      </patternFill>
    </fill>
    <fill>
      <patternFill patternType="solid">
        <fgColor rgb="FFC3E6CB"/>
        <bgColor rgb="FFC6EFCE"/>
      </patternFill>
    </fill>
    <fill>
      <patternFill patternType="solid">
        <fgColor rgb="FFD4EDDA"/>
        <bgColor rgb="FFE2EFDA"/>
      </patternFill>
    </fill>
    <fill>
      <patternFill patternType="solid">
        <fgColor rgb="FFFFF3CD"/>
        <bgColor rgb="FFFFF2CC"/>
      </patternFill>
    </fill>
    <fill>
      <patternFill patternType="solid">
        <fgColor rgb="FFC00000"/>
        <bgColor rgb="FF800000"/>
      </patternFill>
    </fill>
    <fill>
      <patternFill patternType="solid">
        <fgColor rgb="FF7F5600"/>
        <bgColor rgb="FF808000"/>
      </patternFill>
    </fill>
    <fill>
      <patternFill patternType="solid">
        <fgColor rgb="FFFCE4D6"/>
        <bgColor rgb="FFFFE6E6"/>
      </patternFill>
    </fill>
    <fill>
      <patternFill patternType="solid">
        <fgColor rgb="FFF8FBFE"/>
        <bgColor rgb="FFFFFFFF"/>
      </patternFill>
    </fill>
    <fill>
      <patternFill patternType="solid">
        <fgColor rgb="FFE8F0F8"/>
        <bgColor rgb="FFE6F0FF"/>
      </patternFill>
    </fill>
    <fill>
      <patternFill patternType="solid">
        <fgColor rgb="FFE2EFDA"/>
        <bgColor rgb="FFE6F3E6"/>
      </patternFill>
    </fill>
    <fill>
      <patternFill patternType="solid">
        <fgColor rgb="FFC6EFCE"/>
        <bgColor rgb="FFC3E6CB"/>
      </patternFill>
    </fill>
    <fill>
      <patternFill patternType="solid">
        <fgColor rgb="FFD0E4F7"/>
        <bgColor rgb="FFD6E4F0"/>
      </patternFill>
    </fill>
    <fill>
      <patternFill patternType="solid">
        <fgColor rgb="FFF2DCDB"/>
        <bgColor rgb="FFFCE4D6"/>
      </patternFill>
    </fill>
  </fills>
  <borders count="4">
    <border>
      <left/>
      <right/>
      <top/>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26">
    <xf numFmtId="0" fontId="0" fillId="0" borderId="0" xfId="0"/>
    <xf numFmtId="0" fontId="12" fillId="2" borderId="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4" fillId="14" borderId="3" xfId="0" applyFont="1" applyFill="1" applyBorder="1" applyAlignment="1">
      <alignment horizontal="left" vertical="center" wrapText="1"/>
    </xf>
    <xf numFmtId="0" fontId="4" fillId="13" borderId="3" xfId="0" applyFont="1" applyFill="1" applyBorder="1" applyAlignment="1">
      <alignment horizontal="left" vertical="center" wrapText="1"/>
    </xf>
    <xf numFmtId="0" fontId="4" fillId="12" borderId="3"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10" fillId="9" borderId="3" xfId="0" applyFont="1" applyFill="1" applyBorder="1" applyAlignment="1">
      <alignment horizontal="left" vertical="center" wrapText="1"/>
    </xf>
    <xf numFmtId="0" fontId="6" fillId="2" borderId="1" xfId="0" applyFont="1" applyFill="1" applyBorder="1" applyAlignment="1">
      <alignment horizontal="center" vertical="center"/>
    </xf>
    <xf numFmtId="0" fontId="3" fillId="4" borderId="3" xfId="0" applyFont="1" applyFill="1" applyBorder="1" applyAlignment="1">
      <alignment horizontal="center" vertical="center" wrapText="1"/>
    </xf>
    <xf numFmtId="0" fontId="2" fillId="3"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5" fillId="5"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2" fontId="7" fillId="6" borderId="2" xfId="0" applyNumberFormat="1" applyFont="1" applyFill="1" applyBorder="1" applyAlignment="1">
      <alignment horizontal="center" vertical="center" wrapText="1"/>
    </xf>
    <xf numFmtId="164" fontId="4" fillId="6" borderId="2" xfId="0" applyNumberFormat="1" applyFont="1" applyFill="1" applyBorder="1" applyAlignment="1">
      <alignment horizontal="center" vertical="center" wrapText="1"/>
    </xf>
    <xf numFmtId="0" fontId="5" fillId="7"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2" fontId="7" fillId="7" borderId="2" xfId="0" applyNumberFormat="1" applyFont="1" applyFill="1" applyBorder="1" applyAlignment="1">
      <alignment horizontal="center" vertical="center" wrapText="1"/>
    </xf>
    <xf numFmtId="164" fontId="4" fillId="7" borderId="2" xfId="0" applyNumberFormat="1" applyFont="1" applyFill="1" applyBorder="1" applyAlignment="1">
      <alignment horizontal="center" vertical="center" wrapText="1"/>
    </xf>
    <xf numFmtId="2" fontId="8" fillId="8" borderId="2" xfId="0" applyNumberFormat="1" applyFont="1" applyFill="1" applyBorder="1" applyAlignment="1">
      <alignment horizontal="center" vertical="center"/>
    </xf>
    <xf numFmtId="164" fontId="9" fillId="8" borderId="2" xfId="0" applyNumberFormat="1" applyFont="1" applyFill="1" applyBorder="1" applyAlignment="1">
      <alignment horizontal="center" vertical="center"/>
    </xf>
    <xf numFmtId="0" fontId="11" fillId="3"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10" borderId="2"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5" fillId="11" borderId="2" xfId="0" applyFont="1" applyFill="1" applyBorder="1" applyAlignment="1">
      <alignment horizontal="center" vertical="center" wrapText="1"/>
    </xf>
    <xf numFmtId="0" fontId="5" fillId="11" borderId="2" xfId="0" applyFont="1" applyFill="1" applyBorder="1" applyAlignment="1">
      <alignment horizontal="left" vertical="center" wrapText="1"/>
    </xf>
    <xf numFmtId="0" fontId="4" fillId="11" borderId="2" xfId="0" applyFont="1" applyFill="1" applyBorder="1" applyAlignment="1">
      <alignment horizontal="left" vertical="center" wrapText="1"/>
    </xf>
    <xf numFmtId="0" fontId="5" fillId="12"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5" fillId="13" borderId="2" xfId="0" applyFont="1" applyFill="1" applyBorder="1" applyAlignment="1">
      <alignment horizontal="center" vertical="center" wrapText="1"/>
    </xf>
    <xf numFmtId="0" fontId="5" fillId="13" borderId="2" xfId="0" applyFont="1" applyFill="1" applyBorder="1" applyAlignment="1">
      <alignment horizontal="left" vertical="center" wrapText="1"/>
    </xf>
    <xf numFmtId="0" fontId="4" fillId="13" borderId="2" xfId="0" applyFont="1" applyFill="1" applyBorder="1" applyAlignment="1">
      <alignment horizontal="left" vertical="center" wrapText="1"/>
    </xf>
    <xf numFmtId="0" fontId="5" fillId="14" borderId="2" xfId="0" applyFont="1" applyFill="1" applyBorder="1" applyAlignment="1">
      <alignment horizontal="center" vertical="center" wrapText="1"/>
    </xf>
    <xf numFmtId="0" fontId="5" fillId="14" borderId="2" xfId="0" applyFont="1" applyFill="1" applyBorder="1" applyAlignment="1">
      <alignment horizontal="left" vertical="center" wrapText="1"/>
    </xf>
    <xf numFmtId="0" fontId="4" fillId="14" borderId="2"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4" fillId="15" borderId="2" xfId="0" applyFont="1" applyFill="1" applyBorder="1" applyAlignment="1">
      <alignment horizontal="left" vertical="center" wrapText="1"/>
    </xf>
    <xf numFmtId="1" fontId="7" fillId="16" borderId="2" xfId="0" applyNumberFormat="1" applyFont="1" applyFill="1" applyBorder="1" applyAlignment="1">
      <alignment horizontal="center" vertical="center" wrapText="1"/>
    </xf>
    <xf numFmtId="1" fontId="7" fillId="17" borderId="2" xfId="0" applyNumberFormat="1" applyFont="1" applyFill="1" applyBorder="1" applyAlignment="1">
      <alignment horizontal="center" vertical="center" wrapText="1"/>
    </xf>
    <xf numFmtId="1" fontId="7" fillId="18"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1" fontId="8" fillId="8" borderId="2" xfId="0" applyNumberFormat="1" applyFont="1" applyFill="1" applyBorder="1" applyAlignment="1">
      <alignment horizontal="center" vertical="center"/>
    </xf>
    <xf numFmtId="0" fontId="11" fillId="4" borderId="2"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12" fillId="20" borderId="2" xfId="0" applyFont="1" applyFill="1" applyBorder="1" applyAlignment="1">
      <alignment horizontal="center" vertical="center" wrapText="1"/>
    </xf>
    <xf numFmtId="0" fontId="8" fillId="5" borderId="2" xfId="0" applyFont="1" applyFill="1" applyBorder="1" applyAlignment="1">
      <alignment horizontal="center" vertical="center"/>
    </xf>
    <xf numFmtId="0" fontId="13" fillId="5" borderId="2" xfId="0" applyFont="1" applyFill="1" applyBorder="1" applyAlignment="1">
      <alignment horizontal="left" vertical="center"/>
    </xf>
    <xf numFmtId="0" fontId="4" fillId="6" borderId="2" xfId="0" applyFont="1" applyFill="1" applyBorder="1" applyAlignment="1">
      <alignment horizontal="center" vertical="center" wrapText="1"/>
    </xf>
    <xf numFmtId="2" fontId="14" fillId="5" borderId="2" xfId="0" applyNumberFormat="1" applyFont="1" applyFill="1" applyBorder="1" applyAlignment="1">
      <alignment horizontal="center" vertical="center"/>
    </xf>
    <xf numFmtId="165" fontId="9" fillId="5" borderId="2" xfId="0" applyNumberFormat="1" applyFont="1" applyFill="1" applyBorder="1" applyAlignment="1">
      <alignment horizontal="center" vertical="center" wrapText="1"/>
    </xf>
    <xf numFmtId="0" fontId="4" fillId="5" borderId="2" xfId="0" applyFont="1" applyFill="1" applyBorder="1" applyAlignment="1">
      <alignment horizontal="center" vertical="center" wrapText="1"/>
    </xf>
    <xf numFmtId="166" fontId="15" fillId="6" borderId="2" xfId="0" applyNumberFormat="1" applyFont="1" applyFill="1" applyBorder="1" applyAlignment="1">
      <alignment horizontal="center" vertical="center"/>
    </xf>
    <xf numFmtId="165" fontId="15" fillId="5" borderId="2" xfId="0" applyNumberFormat="1" applyFont="1" applyFill="1" applyBorder="1" applyAlignment="1">
      <alignment horizontal="center" vertical="center"/>
    </xf>
    <xf numFmtId="165" fontId="5" fillId="21" borderId="2" xfId="0" applyNumberFormat="1" applyFont="1" applyFill="1" applyBorder="1" applyAlignment="1">
      <alignment horizontal="center" vertical="center"/>
    </xf>
    <xf numFmtId="0" fontId="5" fillId="9" borderId="2" xfId="0" applyFont="1" applyFill="1" applyBorder="1" applyAlignment="1">
      <alignment horizontal="center" vertical="center"/>
    </xf>
    <xf numFmtId="166" fontId="15" fillId="22" borderId="2" xfId="0" applyNumberFormat="1" applyFont="1" applyFill="1" applyBorder="1" applyAlignment="1">
      <alignment horizontal="center" vertical="center"/>
    </xf>
    <xf numFmtId="165" fontId="15" fillId="23" borderId="2" xfId="0" applyNumberFormat="1" applyFont="1" applyFill="1" applyBorder="1" applyAlignment="1">
      <alignment horizontal="center" vertical="center"/>
    </xf>
    <xf numFmtId="0" fontId="0" fillId="2" borderId="2" xfId="0" applyFill="1" applyBorder="1"/>
    <xf numFmtId="2" fontId="9" fillId="8" borderId="2" xfId="0" applyNumberFormat="1" applyFont="1" applyFill="1" applyBorder="1" applyAlignment="1">
      <alignment horizontal="center" vertical="center"/>
    </xf>
    <xf numFmtId="2" fontId="14" fillId="6" borderId="2" xfId="0" applyNumberFormat="1" applyFont="1" applyFill="1" applyBorder="1" applyAlignment="1">
      <alignment horizontal="center" vertical="center"/>
    </xf>
    <xf numFmtId="166" fontId="15" fillId="18" borderId="2" xfId="0" applyNumberFormat="1" applyFont="1" applyFill="1" applyBorder="1" applyAlignment="1">
      <alignment horizontal="center" vertical="center"/>
    </xf>
    <xf numFmtId="2" fontId="14" fillId="7" borderId="2" xfId="0" applyNumberFormat="1" applyFont="1" applyFill="1" applyBorder="1" applyAlignment="1">
      <alignment horizontal="center" vertical="center"/>
    </xf>
    <xf numFmtId="166" fontId="15" fillId="7" borderId="2" xfId="0" applyNumberFormat="1" applyFont="1" applyFill="1" applyBorder="1" applyAlignment="1">
      <alignment horizontal="center" vertical="center"/>
    </xf>
    <xf numFmtId="166" fontId="8" fillId="8" borderId="2" xfId="0" applyNumberFormat="1" applyFont="1" applyFill="1" applyBorder="1" applyAlignment="1">
      <alignment horizontal="center" vertical="center"/>
    </xf>
    <xf numFmtId="0" fontId="17" fillId="9" borderId="2" xfId="0" applyFont="1" applyFill="1" applyBorder="1" applyAlignment="1">
      <alignment horizontal="center" vertical="center"/>
    </xf>
    <xf numFmtId="165" fontId="18" fillId="15" borderId="2" xfId="0" applyNumberFormat="1" applyFont="1" applyFill="1" applyBorder="1" applyAlignment="1">
      <alignment horizontal="center" vertical="center"/>
    </xf>
    <xf numFmtId="165" fontId="19" fillId="10" borderId="2" xfId="0" applyNumberFormat="1" applyFont="1" applyFill="1" applyBorder="1" applyAlignment="1">
      <alignment horizontal="center" vertical="center"/>
    </xf>
    <xf numFmtId="165" fontId="20" fillId="24" borderId="2" xfId="0" applyNumberFormat="1" applyFont="1" applyFill="1" applyBorder="1" applyAlignment="1">
      <alignment horizontal="center" vertical="center"/>
    </xf>
    <xf numFmtId="165" fontId="18" fillId="9" borderId="2" xfId="0" applyNumberFormat="1" applyFont="1" applyFill="1" applyBorder="1" applyAlignment="1">
      <alignment horizontal="center" vertical="center"/>
    </xf>
    <xf numFmtId="0" fontId="21" fillId="15" borderId="2" xfId="0" applyFont="1" applyFill="1" applyBorder="1" applyAlignment="1">
      <alignment horizontal="center" vertical="center"/>
    </xf>
    <xf numFmtId="165" fontId="18" fillId="7" borderId="2" xfId="0" applyNumberFormat="1" applyFont="1" applyFill="1" applyBorder="1" applyAlignment="1">
      <alignment horizontal="center" vertical="center"/>
    </xf>
    <xf numFmtId="0" fontId="21" fillId="7" borderId="2" xfId="0" applyFont="1" applyFill="1" applyBorder="1" applyAlignment="1">
      <alignment horizontal="center" vertical="center"/>
    </xf>
    <xf numFmtId="0" fontId="23" fillId="25" borderId="2" xfId="0" applyFont="1" applyFill="1" applyBorder="1" applyAlignment="1">
      <alignment horizontal="center" vertical="center"/>
    </xf>
    <xf numFmtId="0" fontId="17" fillId="25" borderId="2" xfId="0" applyFont="1" applyFill="1" applyBorder="1" applyAlignment="1">
      <alignment horizontal="left" vertical="center" wrapText="1"/>
    </xf>
    <xf numFmtId="0" fontId="18" fillId="25" borderId="2" xfId="0" applyFont="1" applyFill="1" applyBorder="1" applyAlignment="1">
      <alignment horizontal="center" vertical="center"/>
    </xf>
    <xf numFmtId="165" fontId="17" fillId="25" borderId="2" xfId="0" applyNumberFormat="1" applyFont="1" applyFill="1" applyBorder="1" applyAlignment="1">
      <alignment horizontal="center" vertical="center"/>
    </xf>
    <xf numFmtId="0" fontId="5" fillId="25" borderId="2" xfId="0" applyFont="1" applyFill="1" applyBorder="1" applyAlignment="1">
      <alignment horizontal="center" vertical="center" wrapText="1"/>
    </xf>
    <xf numFmtId="0" fontId="4" fillId="25" borderId="2" xfId="0" applyFont="1" applyFill="1" applyBorder="1" applyAlignment="1">
      <alignment horizontal="left" vertical="center" wrapText="1"/>
    </xf>
    <xf numFmtId="0" fontId="23" fillId="26" borderId="2" xfId="0" applyFont="1" applyFill="1" applyBorder="1" applyAlignment="1">
      <alignment horizontal="center" vertical="center"/>
    </xf>
    <xf numFmtId="0" fontId="17" fillId="26" borderId="2" xfId="0" applyFont="1" applyFill="1" applyBorder="1" applyAlignment="1">
      <alignment horizontal="left" vertical="center" wrapText="1"/>
    </xf>
    <xf numFmtId="0" fontId="18" fillId="26" borderId="2" xfId="0" applyFont="1" applyFill="1" applyBorder="1" applyAlignment="1">
      <alignment horizontal="center" vertical="center"/>
    </xf>
    <xf numFmtId="165" fontId="17" fillId="26" borderId="2" xfId="0" applyNumberFormat="1" applyFont="1" applyFill="1" applyBorder="1" applyAlignment="1">
      <alignment horizontal="center" vertical="center"/>
    </xf>
    <xf numFmtId="0" fontId="5" fillId="26" borderId="2" xfId="0" applyFont="1" applyFill="1" applyBorder="1" applyAlignment="1">
      <alignment horizontal="center" vertical="center" wrapText="1"/>
    </xf>
    <xf numFmtId="0" fontId="4" fillId="26" borderId="2" xfId="0" applyFont="1" applyFill="1" applyBorder="1" applyAlignment="1">
      <alignment horizontal="left" vertical="center" wrapText="1"/>
    </xf>
    <xf numFmtId="0" fontId="23" fillId="9" borderId="2" xfId="0" applyFont="1" applyFill="1" applyBorder="1" applyAlignment="1">
      <alignment horizontal="center" vertical="center"/>
    </xf>
    <xf numFmtId="0" fontId="17" fillId="9" borderId="2" xfId="0" applyFont="1" applyFill="1" applyBorder="1" applyAlignment="1">
      <alignment horizontal="left" vertical="center" wrapText="1"/>
    </xf>
    <xf numFmtId="0" fontId="18" fillId="9" borderId="2" xfId="0" applyFont="1" applyFill="1" applyBorder="1" applyAlignment="1">
      <alignment horizontal="center" vertical="center"/>
    </xf>
    <xf numFmtId="165" fontId="17" fillId="9" borderId="2" xfId="0" applyNumberFormat="1" applyFont="1" applyFill="1" applyBorder="1" applyAlignment="1">
      <alignment horizontal="center" vertical="center"/>
    </xf>
    <xf numFmtId="0" fontId="5" fillId="9" borderId="2" xfId="0" applyFont="1" applyFill="1" applyBorder="1" applyAlignment="1">
      <alignment horizontal="center" vertical="center" wrapText="1"/>
    </xf>
    <xf numFmtId="0" fontId="4" fillId="9" borderId="2" xfId="0" applyFont="1" applyFill="1" applyBorder="1" applyAlignment="1">
      <alignment horizontal="left" vertical="center" wrapText="1"/>
    </xf>
    <xf numFmtId="0" fontId="23" fillId="21" borderId="2" xfId="0" applyFont="1" applyFill="1" applyBorder="1" applyAlignment="1">
      <alignment horizontal="center" vertical="center"/>
    </xf>
    <xf numFmtId="0" fontId="17" fillId="21" borderId="2" xfId="0" applyFont="1" applyFill="1" applyBorder="1" applyAlignment="1">
      <alignment horizontal="left" vertical="center" wrapText="1"/>
    </xf>
    <xf numFmtId="0" fontId="18" fillId="21" borderId="2" xfId="0" applyFont="1" applyFill="1" applyBorder="1" applyAlignment="1">
      <alignment horizontal="center" vertical="center"/>
    </xf>
    <xf numFmtId="165" fontId="17" fillId="21" borderId="2" xfId="0" applyNumberFormat="1" applyFont="1" applyFill="1" applyBorder="1" applyAlignment="1">
      <alignment horizontal="center" vertical="center"/>
    </xf>
    <xf numFmtId="0" fontId="5" fillId="21" borderId="2" xfId="0" applyFont="1" applyFill="1" applyBorder="1" applyAlignment="1">
      <alignment horizontal="center" vertical="center" wrapText="1"/>
    </xf>
    <xf numFmtId="0" fontId="4" fillId="21" borderId="2" xfId="0" applyFont="1" applyFill="1" applyBorder="1" applyAlignment="1">
      <alignment horizontal="left" vertical="center" wrapText="1"/>
    </xf>
    <xf numFmtId="0" fontId="23" fillId="27" borderId="2" xfId="0" applyFont="1" applyFill="1" applyBorder="1" applyAlignment="1">
      <alignment horizontal="center" vertical="center"/>
    </xf>
    <xf numFmtId="0" fontId="17" fillId="27" borderId="2" xfId="0" applyFont="1" applyFill="1" applyBorder="1" applyAlignment="1">
      <alignment horizontal="left" vertical="center" wrapText="1"/>
    </xf>
    <xf numFmtId="0" fontId="18" fillId="27" borderId="2" xfId="0" applyFont="1" applyFill="1" applyBorder="1" applyAlignment="1">
      <alignment horizontal="center" vertical="center"/>
    </xf>
    <xf numFmtId="165" fontId="17" fillId="27" borderId="2" xfId="0" applyNumberFormat="1" applyFont="1" applyFill="1" applyBorder="1" applyAlignment="1">
      <alignment horizontal="center" vertical="center"/>
    </xf>
    <xf numFmtId="0" fontId="5" fillId="27" borderId="2" xfId="0" applyFont="1" applyFill="1" applyBorder="1" applyAlignment="1">
      <alignment horizontal="center" vertical="center" wrapText="1"/>
    </xf>
    <xf numFmtId="0" fontId="4" fillId="27" borderId="2" xfId="0" applyFont="1" applyFill="1" applyBorder="1" applyAlignment="1">
      <alignment horizontal="left" vertical="center" wrapText="1"/>
    </xf>
    <xf numFmtId="0" fontId="12" fillId="3" borderId="2" xfId="0" applyFont="1" applyFill="1" applyBorder="1" applyAlignment="1">
      <alignment horizontal="center" vertical="center" wrapText="1"/>
    </xf>
    <xf numFmtId="1" fontId="24" fillId="21" borderId="2" xfId="0" applyNumberFormat="1" applyFont="1" applyFill="1" applyBorder="1" applyAlignment="1">
      <alignment horizontal="center" vertical="center"/>
    </xf>
    <xf numFmtId="165" fontId="24" fillId="21" borderId="2" xfId="0" applyNumberFormat="1" applyFont="1" applyFill="1" applyBorder="1" applyAlignment="1">
      <alignment horizontal="center" vertical="center"/>
    </xf>
    <xf numFmtId="0" fontId="16" fillId="9" borderId="3" xfId="0" applyFont="1" applyFill="1" applyBorder="1" applyAlignment="1">
      <alignment horizontal="left" vertical="center" wrapText="1"/>
    </xf>
    <xf numFmtId="0" fontId="22" fillId="2" borderId="1" xfId="0" applyFont="1" applyFill="1" applyBorder="1" applyAlignment="1">
      <alignment horizontal="center" vertical="center" wrapText="1"/>
    </xf>
    <xf numFmtId="0" fontId="4" fillId="25" borderId="3" xfId="0" applyFont="1" applyFill="1" applyBorder="1" applyAlignment="1">
      <alignment horizontal="left" vertical="center" wrapText="1"/>
    </xf>
    <xf numFmtId="0" fontId="4" fillId="26" borderId="3"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21" borderId="3" xfId="0" applyFont="1" applyFill="1" applyBorder="1" applyAlignment="1">
      <alignment horizontal="left" vertical="center" wrapText="1"/>
    </xf>
    <xf numFmtId="0" fontId="4" fillId="27" borderId="3" xfId="0" applyFont="1" applyFill="1" applyBorder="1" applyAlignment="1">
      <alignment horizontal="left" vertical="center" wrapText="1"/>
    </xf>
    <xf numFmtId="0" fontId="12" fillId="3" borderId="3" xfId="0" applyFont="1" applyFill="1" applyBorder="1" applyAlignment="1">
      <alignment horizontal="center" vertical="center" wrapText="1"/>
    </xf>
    <xf numFmtId="0" fontId="4" fillId="6" borderId="3" xfId="0" applyFont="1" applyFill="1" applyBorder="1" applyAlignment="1">
      <alignment horizontal="left" vertical="center" wrapText="1"/>
    </xf>
    <xf numFmtId="0" fontId="4" fillId="7"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7F0000"/>
      <rgbColor rgb="FF008000"/>
      <rgbColor rgb="FF000080"/>
      <rgbColor rgb="FF808000"/>
      <rgbColor rgb="FF800080"/>
      <rgbColor rgb="FF008080"/>
      <rgbColor rgb="FFC3E6CB"/>
      <rgbColor rgb="FF808080"/>
      <rgbColor rgb="FFE8F0F8"/>
      <rgbColor rgb="FF993366"/>
      <rgbColor rgb="FFFFFDE6"/>
      <rgbColor rgb="FFE6F0FF"/>
      <rgbColor rgb="FF660066"/>
      <rgbColor rgb="FFFFF3E6"/>
      <rgbColor rgb="FF0066CC"/>
      <rgbColor rgb="FFD0E4F7"/>
      <rgbColor rgb="FF000080"/>
      <rgbColor rgb="FFFF00FF"/>
      <rgbColor rgb="FFE2EFDA"/>
      <rgbColor rgb="FF00FFFF"/>
      <rgbColor rgb="FF800080"/>
      <rgbColor rgb="FF800000"/>
      <rgbColor rgb="FF008080"/>
      <rgbColor rgb="FF0000FF"/>
      <rgbColor rgb="FF00CCFF"/>
      <rgbColor rgb="FFE6F3E6"/>
      <rgbColor rgb="FFC6EFCE"/>
      <rgbColor rgb="FFFFF3CD"/>
      <rgbColor rgb="FFD6E4F0"/>
      <rgbColor rgb="FFFCE4D6"/>
      <rgbColor rgb="FFD4EDDA"/>
      <rgbColor rgb="FFF2DCDB"/>
      <rgbColor rgb="FF2E75B6"/>
      <rgbColor rgb="FFEBF3FB"/>
      <rgbColor rgb="FFF2F2F2"/>
      <rgbColor rgb="FFFFE6E6"/>
      <rgbColor rgb="FFF8FBFE"/>
      <rgbColor rgb="FFFF6600"/>
      <rgbColor rgb="FF666699"/>
      <rgbColor rgb="FF70AD47"/>
      <rgbColor rgb="FF003366"/>
      <rgbColor rgb="FF339966"/>
      <rgbColor rgb="FF003300"/>
      <rgbColor rgb="FF375623"/>
      <rgbColor rgb="FF7F5600"/>
      <rgbColor rgb="FF993366"/>
      <rgbColor rgb="FF1F4E79"/>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zoomScaleNormal="100" workbookViewId="0"/>
  </sheetViews>
  <sheetFormatPr defaultColWidth="8.7109375" defaultRowHeight="15" x14ac:dyDescent="0.25"/>
  <cols>
    <col min="1" max="1" width="6" customWidth="1"/>
    <col min="2" max="2" width="32" customWidth="1"/>
    <col min="3" max="3" width="58" customWidth="1"/>
  </cols>
  <sheetData>
    <row r="1" spans="1:3" ht="9.75" customHeight="1" x14ac:dyDescent="0.25"/>
    <row r="2" spans="1:3" ht="49.5" customHeight="1" x14ac:dyDescent="0.25">
      <c r="A2" s="14" t="s">
        <v>0</v>
      </c>
      <c r="B2" s="14"/>
      <c r="C2" s="14"/>
    </row>
    <row r="3" spans="1:3" ht="30" customHeight="1" x14ac:dyDescent="0.25">
      <c r="A3" s="13" t="s">
        <v>1</v>
      </c>
      <c r="B3" s="13"/>
      <c r="C3" s="13"/>
    </row>
    <row r="5" spans="1:3" ht="19.5" customHeight="1" x14ac:dyDescent="0.25">
      <c r="A5" s="15" t="s">
        <v>2</v>
      </c>
      <c r="B5" s="15" t="s">
        <v>3</v>
      </c>
      <c r="C5" s="15" t="s">
        <v>4</v>
      </c>
    </row>
    <row r="6" spans="1:3" ht="21.75" customHeight="1" x14ac:dyDescent="0.25">
      <c r="A6" s="16" t="s">
        <v>5</v>
      </c>
      <c r="B6" s="17" t="s">
        <v>6</v>
      </c>
      <c r="C6" s="17" t="s">
        <v>7</v>
      </c>
    </row>
    <row r="7" spans="1:3" ht="21.75" customHeight="1" x14ac:dyDescent="0.25">
      <c r="A7" s="16" t="s">
        <v>8</v>
      </c>
      <c r="B7" s="17" t="s">
        <v>9</v>
      </c>
      <c r="C7" s="17" t="s">
        <v>10</v>
      </c>
    </row>
    <row r="8" spans="1:3" ht="21.75" customHeight="1" x14ac:dyDescent="0.25">
      <c r="A8" s="16" t="s">
        <v>11</v>
      </c>
      <c r="B8" s="17" t="s">
        <v>12</v>
      </c>
      <c r="C8" s="17" t="s">
        <v>13</v>
      </c>
    </row>
    <row r="9" spans="1:3" ht="21.75" customHeight="1" x14ac:dyDescent="0.25">
      <c r="A9" s="16" t="s">
        <v>14</v>
      </c>
      <c r="B9" s="17" t="s">
        <v>15</v>
      </c>
      <c r="C9" s="17" t="s">
        <v>16</v>
      </c>
    </row>
    <row r="10" spans="1:3" ht="21.75" customHeight="1" x14ac:dyDescent="0.25">
      <c r="A10" s="16" t="s">
        <v>17</v>
      </c>
      <c r="B10" s="17" t="s">
        <v>18</v>
      </c>
      <c r="C10" s="17" t="s">
        <v>19</v>
      </c>
    </row>
    <row r="11" spans="1:3" ht="21.75" customHeight="1" x14ac:dyDescent="0.25">
      <c r="A11" s="16" t="s">
        <v>20</v>
      </c>
      <c r="B11" s="17" t="s">
        <v>21</v>
      </c>
      <c r="C11" s="17" t="s">
        <v>22</v>
      </c>
    </row>
    <row r="13" spans="1:3" ht="19.5" customHeight="1" x14ac:dyDescent="0.25">
      <c r="A13" s="12" t="s">
        <v>23</v>
      </c>
      <c r="B13" s="12"/>
      <c r="C13" s="12"/>
    </row>
    <row r="14" spans="1:3" ht="30" customHeight="1" x14ac:dyDescent="0.25">
      <c r="A14" s="18">
        <v>1</v>
      </c>
      <c r="B14" s="19" t="s">
        <v>24</v>
      </c>
      <c r="C14" s="17" t="s">
        <v>25</v>
      </c>
    </row>
    <row r="15" spans="1:3" ht="30" customHeight="1" x14ac:dyDescent="0.25">
      <c r="A15" s="18">
        <v>2</v>
      </c>
      <c r="B15" s="19" t="s">
        <v>26</v>
      </c>
      <c r="C15" s="17" t="s">
        <v>27</v>
      </c>
    </row>
    <row r="16" spans="1:3" ht="30" customHeight="1" x14ac:dyDescent="0.25">
      <c r="A16" s="18">
        <v>3</v>
      </c>
      <c r="B16" s="19" t="s">
        <v>28</v>
      </c>
      <c r="C16" s="17" t="s">
        <v>29</v>
      </c>
    </row>
    <row r="17" spans="1:3" ht="30" customHeight="1" x14ac:dyDescent="0.25">
      <c r="A17" s="18">
        <v>4</v>
      </c>
      <c r="B17" s="19" t="s">
        <v>30</v>
      </c>
      <c r="C17" s="17" t="s">
        <v>31</v>
      </c>
    </row>
    <row r="18" spans="1:3" ht="30" customHeight="1" x14ac:dyDescent="0.25">
      <c r="A18" s="18">
        <v>5</v>
      </c>
      <c r="B18" s="19" t="s">
        <v>32</v>
      </c>
      <c r="C18" s="17" t="s">
        <v>33</v>
      </c>
    </row>
  </sheetData>
  <mergeCells count="3">
    <mergeCell ref="A2:C2"/>
    <mergeCell ref="A3:C3"/>
    <mergeCell ref="A13:C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tabSelected="1" topLeftCell="A16" zoomScaleNormal="100" workbookViewId="0">
      <selection activeCell="D20" sqref="D20:F20"/>
    </sheetView>
  </sheetViews>
  <sheetFormatPr defaultColWidth="8.7109375" defaultRowHeight="15" x14ac:dyDescent="0.25"/>
  <cols>
    <col min="1" max="1" width="5" customWidth="1"/>
    <col min="2" max="2" width="28" customWidth="1"/>
    <col min="3" max="3" width="45" customWidth="1"/>
    <col min="4" max="4" width="28" customWidth="1"/>
    <col min="5" max="5" width="12" customWidth="1"/>
    <col min="6" max="6" width="16" customWidth="1"/>
  </cols>
  <sheetData>
    <row r="1" spans="1:6" ht="34.5" customHeight="1" x14ac:dyDescent="0.25">
      <c r="A1" s="11" t="s">
        <v>34</v>
      </c>
      <c r="B1" s="11"/>
      <c r="C1" s="11"/>
      <c r="D1" s="11"/>
      <c r="E1" s="11"/>
      <c r="F1" s="11"/>
    </row>
    <row r="3" spans="1:6" ht="24.75" customHeight="1" x14ac:dyDescent="0.25">
      <c r="A3" s="15" t="s">
        <v>2</v>
      </c>
      <c r="B3" s="15" t="s">
        <v>35</v>
      </c>
      <c r="C3" s="15" t="s">
        <v>36</v>
      </c>
      <c r="D3" s="15" t="s">
        <v>37</v>
      </c>
      <c r="E3" s="15" t="s">
        <v>38</v>
      </c>
      <c r="F3" s="15" t="s">
        <v>39</v>
      </c>
    </row>
    <row r="4" spans="1:6" ht="45" customHeight="1" x14ac:dyDescent="0.25">
      <c r="A4" s="18" t="s">
        <v>40</v>
      </c>
      <c r="B4" s="19" t="s">
        <v>41</v>
      </c>
      <c r="C4" s="20" t="s">
        <v>42</v>
      </c>
      <c r="D4" s="20" t="s">
        <v>43</v>
      </c>
      <c r="E4" s="21">
        <v>0.25</v>
      </c>
      <c r="F4" s="22">
        <f t="shared" ref="F4:F9" si="0">E4/SUM($E$4:$E$9)</f>
        <v>0.25</v>
      </c>
    </row>
    <row r="5" spans="1:6" ht="45" customHeight="1" x14ac:dyDescent="0.25">
      <c r="A5" s="18" t="s">
        <v>44</v>
      </c>
      <c r="B5" s="23" t="s">
        <v>45</v>
      </c>
      <c r="C5" s="24" t="s">
        <v>46</v>
      </c>
      <c r="D5" s="24" t="s">
        <v>47</v>
      </c>
      <c r="E5" s="25">
        <v>0.2</v>
      </c>
      <c r="F5" s="26">
        <f t="shared" si="0"/>
        <v>0.2</v>
      </c>
    </row>
    <row r="6" spans="1:6" ht="45" customHeight="1" x14ac:dyDescent="0.25">
      <c r="A6" s="18" t="s">
        <v>48</v>
      </c>
      <c r="B6" s="19" t="s">
        <v>49</v>
      </c>
      <c r="C6" s="20" t="s">
        <v>50</v>
      </c>
      <c r="D6" s="20" t="s">
        <v>51</v>
      </c>
      <c r="E6" s="21">
        <v>0.15</v>
      </c>
      <c r="F6" s="22">
        <f t="shared" si="0"/>
        <v>0.15</v>
      </c>
    </row>
    <row r="7" spans="1:6" ht="45" customHeight="1" x14ac:dyDescent="0.25">
      <c r="A7" s="18" t="s">
        <v>52</v>
      </c>
      <c r="B7" s="23" t="s">
        <v>53</v>
      </c>
      <c r="C7" s="24" t="s">
        <v>54</v>
      </c>
      <c r="D7" s="24" t="s">
        <v>55</v>
      </c>
      <c r="E7" s="25">
        <v>0.2</v>
      </c>
      <c r="F7" s="26">
        <f t="shared" si="0"/>
        <v>0.2</v>
      </c>
    </row>
    <row r="8" spans="1:6" ht="45" customHeight="1" x14ac:dyDescent="0.25">
      <c r="A8" s="18" t="s">
        <v>56</v>
      </c>
      <c r="B8" s="19" t="s">
        <v>57</v>
      </c>
      <c r="C8" s="20" t="s">
        <v>58</v>
      </c>
      <c r="D8" s="20" t="s">
        <v>59</v>
      </c>
      <c r="E8" s="21">
        <v>0.1</v>
      </c>
      <c r="F8" s="22">
        <f t="shared" si="0"/>
        <v>0.1</v>
      </c>
    </row>
    <row r="9" spans="1:6" ht="45" customHeight="1" x14ac:dyDescent="0.25">
      <c r="A9" s="18" t="s">
        <v>60</v>
      </c>
      <c r="B9" s="23" t="s">
        <v>61</v>
      </c>
      <c r="C9" s="24" t="s">
        <v>62</v>
      </c>
      <c r="D9" s="24" t="s">
        <v>63</v>
      </c>
      <c r="E9" s="25">
        <v>0.1</v>
      </c>
      <c r="F9" s="26">
        <f t="shared" si="0"/>
        <v>0.1</v>
      </c>
    </row>
    <row r="10" spans="1:6" ht="21.75" customHeight="1" x14ac:dyDescent="0.25">
      <c r="A10" s="15"/>
      <c r="B10" s="15"/>
      <c r="C10" s="15"/>
      <c r="D10" s="15" t="s">
        <v>64</v>
      </c>
      <c r="E10" s="27">
        <f>SUM(E4:E9)</f>
        <v>1</v>
      </c>
      <c r="F10" s="28">
        <f>SUM(F4:F9)</f>
        <v>1</v>
      </c>
    </row>
    <row r="12" spans="1:6" ht="34.5" customHeight="1" x14ac:dyDescent="0.25">
      <c r="A12" s="10" t="s">
        <v>65</v>
      </c>
      <c r="B12" s="10"/>
      <c r="C12" s="10"/>
      <c r="D12" s="10"/>
      <c r="E12" s="10"/>
      <c r="F12" s="10"/>
    </row>
    <row r="14" spans="1:6" ht="21.75" customHeight="1" x14ac:dyDescent="0.25">
      <c r="A14" s="12" t="s">
        <v>66</v>
      </c>
      <c r="B14" s="12"/>
      <c r="C14" s="12"/>
      <c r="D14" s="12"/>
      <c r="E14" s="12"/>
      <c r="F14" s="12"/>
    </row>
    <row r="15" spans="1:6" ht="21.75" customHeight="1" x14ac:dyDescent="0.25">
      <c r="A15" s="29" t="s">
        <v>67</v>
      </c>
      <c r="B15" s="29" t="s">
        <v>68</v>
      </c>
      <c r="C15" s="29" t="s">
        <v>69</v>
      </c>
      <c r="D15" s="29" t="s">
        <v>70</v>
      </c>
      <c r="E15" s="9"/>
      <c r="F15" s="9"/>
    </row>
    <row r="16" spans="1:6" ht="24.75" customHeight="1" x14ac:dyDescent="0.25">
      <c r="A16" s="30">
        <v>1</v>
      </c>
      <c r="B16" s="31" t="s">
        <v>71</v>
      </c>
      <c r="C16" s="32" t="s">
        <v>72</v>
      </c>
      <c r="D16" s="8" t="s">
        <v>73</v>
      </c>
      <c r="E16" s="8"/>
      <c r="F16" s="8"/>
    </row>
    <row r="17" spans="1:6" ht="24.75" customHeight="1" x14ac:dyDescent="0.25">
      <c r="A17" s="33">
        <v>2</v>
      </c>
      <c r="B17" s="34" t="s">
        <v>74</v>
      </c>
      <c r="C17" s="35" t="s">
        <v>75</v>
      </c>
      <c r="D17" s="7" t="s">
        <v>76</v>
      </c>
      <c r="E17" s="7"/>
      <c r="F17" s="7"/>
    </row>
    <row r="18" spans="1:6" ht="24.75" customHeight="1" x14ac:dyDescent="0.25">
      <c r="A18" s="36">
        <v>3</v>
      </c>
      <c r="B18" s="37" t="s">
        <v>77</v>
      </c>
      <c r="C18" s="38" t="s">
        <v>78</v>
      </c>
      <c r="D18" s="6" t="s">
        <v>79</v>
      </c>
      <c r="E18" s="6"/>
      <c r="F18" s="6"/>
    </row>
    <row r="19" spans="1:6" ht="24.75" customHeight="1" x14ac:dyDescent="0.25">
      <c r="A19" s="39">
        <v>4</v>
      </c>
      <c r="B19" s="40" t="s">
        <v>80</v>
      </c>
      <c r="C19" s="41" t="s">
        <v>81</v>
      </c>
      <c r="D19" s="5" t="s">
        <v>82</v>
      </c>
      <c r="E19" s="5"/>
      <c r="F19" s="5"/>
    </row>
    <row r="20" spans="1:6" ht="24.75" customHeight="1" x14ac:dyDescent="0.25">
      <c r="A20" s="42">
        <v>5</v>
      </c>
      <c r="B20" s="43" t="s">
        <v>83</v>
      </c>
      <c r="C20" s="44" t="s">
        <v>84</v>
      </c>
      <c r="D20" s="4" t="s">
        <v>85</v>
      </c>
      <c r="E20" s="4"/>
      <c r="F20" s="4"/>
    </row>
  </sheetData>
  <mergeCells count="9">
    <mergeCell ref="D17:F17"/>
    <mergeCell ref="D18:F18"/>
    <mergeCell ref="D19:F19"/>
    <mergeCell ref="D20:F20"/>
    <mergeCell ref="A1:F1"/>
    <mergeCell ref="A12:F12"/>
    <mergeCell ref="A14:F14"/>
    <mergeCell ref="E15:F15"/>
    <mergeCell ref="D16:F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zoomScaleNormal="100" workbookViewId="0"/>
  </sheetViews>
  <sheetFormatPr defaultColWidth="8.7109375" defaultRowHeight="15" x14ac:dyDescent="0.25"/>
  <cols>
    <col min="1" max="1" width="5" customWidth="1"/>
    <col min="2" max="2" width="32" customWidth="1"/>
    <col min="3" max="3" width="22" customWidth="1"/>
    <col min="4" max="9" width="14" customWidth="1"/>
  </cols>
  <sheetData>
    <row r="1" spans="1:9" ht="34.5" customHeight="1" x14ac:dyDescent="0.25">
      <c r="A1" s="11" t="s">
        <v>86</v>
      </c>
      <c r="B1" s="11"/>
      <c r="C1" s="11"/>
      <c r="D1" s="11"/>
      <c r="E1" s="11"/>
      <c r="F1" s="11"/>
      <c r="G1" s="11"/>
      <c r="H1" s="11"/>
      <c r="I1" s="11"/>
    </row>
    <row r="3" spans="1:9" ht="39.75" customHeight="1" x14ac:dyDescent="0.25">
      <c r="A3" s="45" t="s">
        <v>2</v>
      </c>
      <c r="B3" s="45" t="s">
        <v>87</v>
      </c>
      <c r="C3" s="45" t="s">
        <v>88</v>
      </c>
      <c r="D3" s="45" t="s">
        <v>89</v>
      </c>
      <c r="E3" s="45" t="s">
        <v>90</v>
      </c>
      <c r="F3" s="45" t="s">
        <v>91</v>
      </c>
      <c r="G3" s="45" t="s">
        <v>92</v>
      </c>
      <c r="H3" s="45" t="s">
        <v>93</v>
      </c>
      <c r="I3" s="45" t="s">
        <v>94</v>
      </c>
    </row>
    <row r="4" spans="1:9" ht="27.75" customHeight="1" x14ac:dyDescent="0.25">
      <c r="A4" s="18" t="s">
        <v>95</v>
      </c>
      <c r="B4" s="46" t="s">
        <v>96</v>
      </c>
      <c r="C4" s="46" t="s">
        <v>97</v>
      </c>
      <c r="D4" s="47">
        <v>5</v>
      </c>
      <c r="E4" s="47">
        <v>5</v>
      </c>
      <c r="F4" s="47">
        <v>5</v>
      </c>
      <c r="G4" s="47">
        <v>5</v>
      </c>
      <c r="H4" s="48">
        <v>4</v>
      </c>
      <c r="I4" s="48">
        <v>4</v>
      </c>
    </row>
    <row r="5" spans="1:9" ht="27.75" customHeight="1" x14ac:dyDescent="0.25">
      <c r="A5" s="18" t="s">
        <v>98</v>
      </c>
      <c r="B5" s="24" t="s">
        <v>99</v>
      </c>
      <c r="C5" s="24" t="s">
        <v>100</v>
      </c>
      <c r="D5" s="47">
        <v>5</v>
      </c>
      <c r="E5" s="47">
        <v>5</v>
      </c>
      <c r="F5" s="48">
        <v>4</v>
      </c>
      <c r="G5" s="47">
        <v>5</v>
      </c>
      <c r="H5" s="48">
        <v>4</v>
      </c>
      <c r="I5" s="48">
        <v>4</v>
      </c>
    </row>
    <row r="6" spans="1:9" ht="27.75" customHeight="1" x14ac:dyDescent="0.25">
      <c r="A6" s="18" t="s">
        <v>101</v>
      </c>
      <c r="B6" s="46" t="s">
        <v>102</v>
      </c>
      <c r="C6" s="46" t="s">
        <v>103</v>
      </c>
      <c r="D6" s="47">
        <v>5</v>
      </c>
      <c r="E6" s="47">
        <v>5</v>
      </c>
      <c r="F6" s="48">
        <v>4</v>
      </c>
      <c r="G6" s="48">
        <v>4</v>
      </c>
      <c r="H6" s="48">
        <v>4</v>
      </c>
      <c r="I6" s="48">
        <v>4</v>
      </c>
    </row>
    <row r="7" spans="1:9" ht="27.75" customHeight="1" x14ac:dyDescent="0.25">
      <c r="A7" s="18" t="s">
        <v>104</v>
      </c>
      <c r="B7" s="24" t="s">
        <v>105</v>
      </c>
      <c r="C7" s="24" t="s">
        <v>106</v>
      </c>
      <c r="D7" s="48">
        <v>4</v>
      </c>
      <c r="E7" s="48">
        <v>4</v>
      </c>
      <c r="F7" s="47">
        <v>5</v>
      </c>
      <c r="G7" s="48">
        <v>4</v>
      </c>
      <c r="H7" s="49">
        <v>3</v>
      </c>
      <c r="I7" s="48">
        <v>4</v>
      </c>
    </row>
    <row r="8" spans="1:9" ht="27.75" customHeight="1" x14ac:dyDescent="0.25">
      <c r="A8" s="18" t="s">
        <v>107</v>
      </c>
      <c r="B8" s="46" t="s">
        <v>108</v>
      </c>
      <c r="C8" s="46" t="s">
        <v>109</v>
      </c>
      <c r="D8" s="48">
        <v>4</v>
      </c>
      <c r="E8" s="48">
        <v>4</v>
      </c>
      <c r="F8" s="48">
        <v>4</v>
      </c>
      <c r="G8" s="48">
        <v>4</v>
      </c>
      <c r="H8" s="47">
        <v>5</v>
      </c>
      <c r="I8" s="49">
        <v>3</v>
      </c>
    </row>
    <row r="9" spans="1:9" ht="27.75" customHeight="1" x14ac:dyDescent="0.25">
      <c r="A9" s="18" t="s">
        <v>110</v>
      </c>
      <c r="B9" s="24" t="s">
        <v>111</v>
      </c>
      <c r="C9" s="24" t="s">
        <v>112</v>
      </c>
      <c r="D9" s="48">
        <v>4</v>
      </c>
      <c r="E9" s="47">
        <v>5</v>
      </c>
      <c r="F9" s="47">
        <v>5</v>
      </c>
      <c r="G9" s="48">
        <v>4</v>
      </c>
      <c r="H9" s="47">
        <v>5</v>
      </c>
      <c r="I9" s="47">
        <v>5</v>
      </c>
    </row>
    <row r="10" spans="1:9" ht="27.75" customHeight="1" x14ac:dyDescent="0.25">
      <c r="A10" s="18" t="s">
        <v>113</v>
      </c>
      <c r="B10" s="46" t="s">
        <v>114</v>
      </c>
      <c r="C10" s="46" t="s">
        <v>115</v>
      </c>
      <c r="D10" s="48">
        <v>4</v>
      </c>
      <c r="E10" s="48">
        <v>4</v>
      </c>
      <c r="F10" s="48">
        <v>4</v>
      </c>
      <c r="G10" s="48">
        <v>4</v>
      </c>
      <c r="H10" s="49">
        <v>3</v>
      </c>
      <c r="I10" s="49">
        <v>3</v>
      </c>
    </row>
    <row r="11" spans="1:9" ht="27.75" customHeight="1" x14ac:dyDescent="0.25">
      <c r="A11" s="18" t="s">
        <v>116</v>
      </c>
      <c r="B11" s="24" t="s">
        <v>117</v>
      </c>
      <c r="C11" s="24" t="s">
        <v>118</v>
      </c>
      <c r="D11" s="47">
        <v>5</v>
      </c>
      <c r="E11" s="47">
        <v>5</v>
      </c>
      <c r="F11" s="48">
        <v>4</v>
      </c>
      <c r="G11" s="48">
        <v>4</v>
      </c>
      <c r="H11" s="47">
        <v>5</v>
      </c>
      <c r="I11" s="49">
        <v>3</v>
      </c>
    </row>
    <row r="12" spans="1:9" ht="27.75" customHeight="1" x14ac:dyDescent="0.25">
      <c r="A12" s="18" t="s">
        <v>119</v>
      </c>
      <c r="B12" s="46" t="s">
        <v>120</v>
      </c>
      <c r="C12" s="46" t="s">
        <v>121</v>
      </c>
      <c r="D12" s="47">
        <v>5</v>
      </c>
      <c r="E12" s="48">
        <v>4</v>
      </c>
      <c r="F12" s="49">
        <v>3</v>
      </c>
      <c r="G12" s="49">
        <v>3</v>
      </c>
      <c r="H12" s="48">
        <v>4</v>
      </c>
      <c r="I12" s="49">
        <v>3</v>
      </c>
    </row>
    <row r="13" spans="1:9" ht="27.75" customHeight="1" x14ac:dyDescent="0.25">
      <c r="A13" s="18" t="s">
        <v>122</v>
      </c>
      <c r="B13" s="24" t="s">
        <v>123</v>
      </c>
      <c r="C13" s="24" t="s">
        <v>124</v>
      </c>
      <c r="D13" s="48">
        <v>4</v>
      </c>
      <c r="E13" s="48">
        <v>4</v>
      </c>
      <c r="F13" s="47">
        <v>5</v>
      </c>
      <c r="G13" s="48">
        <v>4</v>
      </c>
      <c r="H13" s="49">
        <v>3</v>
      </c>
      <c r="I13" s="48">
        <v>4</v>
      </c>
    </row>
    <row r="14" spans="1:9" ht="27.75" customHeight="1" x14ac:dyDescent="0.25">
      <c r="A14" s="18" t="s">
        <v>125</v>
      </c>
      <c r="B14" s="46" t="s">
        <v>126</v>
      </c>
      <c r="C14" s="46" t="s">
        <v>127</v>
      </c>
      <c r="D14" s="47">
        <v>5</v>
      </c>
      <c r="E14" s="47">
        <v>5</v>
      </c>
      <c r="F14" s="48">
        <v>4</v>
      </c>
      <c r="G14" s="47">
        <v>5</v>
      </c>
      <c r="H14" s="48">
        <v>4</v>
      </c>
      <c r="I14" s="48">
        <v>4</v>
      </c>
    </row>
    <row r="15" spans="1:9" ht="27.75" customHeight="1" x14ac:dyDescent="0.25">
      <c r="A15" s="18" t="s">
        <v>128</v>
      </c>
      <c r="B15" s="24" t="s">
        <v>129</v>
      </c>
      <c r="C15" s="24" t="s">
        <v>130</v>
      </c>
      <c r="D15" s="47">
        <v>5</v>
      </c>
      <c r="E15" s="47">
        <v>5</v>
      </c>
      <c r="F15" s="49">
        <v>3</v>
      </c>
      <c r="G15" s="49">
        <v>3</v>
      </c>
      <c r="H15" s="48">
        <v>4</v>
      </c>
      <c r="I15" s="49">
        <v>3</v>
      </c>
    </row>
    <row r="16" spans="1:9" ht="27.75" customHeight="1" x14ac:dyDescent="0.25">
      <c r="A16" s="18" t="s">
        <v>131</v>
      </c>
      <c r="B16" s="46" t="s">
        <v>132</v>
      </c>
      <c r="C16" s="46" t="s">
        <v>133</v>
      </c>
      <c r="D16" s="49">
        <v>3</v>
      </c>
      <c r="E16" s="48">
        <v>4</v>
      </c>
      <c r="F16" s="47">
        <v>5</v>
      </c>
      <c r="G16" s="48">
        <v>4</v>
      </c>
      <c r="H16" s="49">
        <v>3</v>
      </c>
      <c r="I16" s="48">
        <v>4</v>
      </c>
    </row>
    <row r="17" spans="1:9" ht="27.75" customHeight="1" x14ac:dyDescent="0.25">
      <c r="A17" s="18" t="s">
        <v>134</v>
      </c>
      <c r="B17" s="24" t="s">
        <v>135</v>
      </c>
      <c r="C17" s="24" t="s">
        <v>136</v>
      </c>
      <c r="D17" s="48">
        <v>4</v>
      </c>
      <c r="E17" s="48">
        <v>4</v>
      </c>
      <c r="F17" s="48">
        <v>4</v>
      </c>
      <c r="G17" s="48">
        <v>4</v>
      </c>
      <c r="H17" s="48">
        <v>4</v>
      </c>
      <c r="I17" s="49">
        <v>3</v>
      </c>
    </row>
    <row r="18" spans="1:9" ht="27.75" customHeight="1" x14ac:dyDescent="0.25">
      <c r="A18" s="18" t="s">
        <v>137</v>
      </c>
      <c r="B18" s="46" t="s">
        <v>138</v>
      </c>
      <c r="C18" s="46" t="s">
        <v>139</v>
      </c>
      <c r="D18" s="47">
        <v>5</v>
      </c>
      <c r="E18" s="47">
        <v>5</v>
      </c>
      <c r="F18" s="49">
        <v>3</v>
      </c>
      <c r="G18" s="49">
        <v>3</v>
      </c>
      <c r="H18" s="47">
        <v>5</v>
      </c>
      <c r="I18" s="49">
        <v>3</v>
      </c>
    </row>
    <row r="19" spans="1:9" ht="27.75" customHeight="1" x14ac:dyDescent="0.25">
      <c r="A19" s="18" t="s">
        <v>140</v>
      </c>
      <c r="B19" s="24" t="s">
        <v>141</v>
      </c>
      <c r="C19" s="24" t="s">
        <v>142</v>
      </c>
      <c r="D19" s="47">
        <v>5</v>
      </c>
      <c r="E19" s="47">
        <v>5</v>
      </c>
      <c r="F19" s="49">
        <v>3</v>
      </c>
      <c r="G19" s="48">
        <v>4</v>
      </c>
      <c r="H19" s="48">
        <v>4</v>
      </c>
      <c r="I19" s="49">
        <v>3</v>
      </c>
    </row>
    <row r="20" spans="1:9" ht="27.75" customHeight="1" x14ac:dyDescent="0.25">
      <c r="A20" s="18" t="s">
        <v>143</v>
      </c>
      <c r="B20" s="46" t="s">
        <v>144</v>
      </c>
      <c r="C20" s="46" t="s">
        <v>145</v>
      </c>
      <c r="D20" s="48">
        <v>4</v>
      </c>
      <c r="E20" s="48">
        <v>4</v>
      </c>
      <c r="F20" s="48">
        <v>4</v>
      </c>
      <c r="G20" s="48">
        <v>4</v>
      </c>
      <c r="H20" s="49">
        <v>3</v>
      </c>
      <c r="I20" s="49">
        <v>3</v>
      </c>
    </row>
    <row r="21" spans="1:9" ht="27.75" customHeight="1" x14ac:dyDescent="0.25">
      <c r="A21" s="18" t="s">
        <v>146</v>
      </c>
      <c r="B21" s="24" t="s">
        <v>147</v>
      </c>
      <c r="C21" s="24" t="s">
        <v>148</v>
      </c>
      <c r="D21" s="47">
        <v>5</v>
      </c>
      <c r="E21" s="47">
        <v>5</v>
      </c>
      <c r="F21" s="49">
        <v>3</v>
      </c>
      <c r="G21" s="48">
        <v>4</v>
      </c>
      <c r="H21" s="48">
        <v>4</v>
      </c>
      <c r="I21" s="49">
        <v>3</v>
      </c>
    </row>
    <row r="22" spans="1:9" ht="27.75" customHeight="1" x14ac:dyDescent="0.25">
      <c r="A22" s="18" t="s">
        <v>149</v>
      </c>
      <c r="B22" s="46" t="s">
        <v>150</v>
      </c>
      <c r="C22" s="46" t="s">
        <v>151</v>
      </c>
      <c r="D22" s="47">
        <v>5</v>
      </c>
      <c r="E22" s="47">
        <v>5</v>
      </c>
      <c r="F22" s="48">
        <v>4</v>
      </c>
      <c r="G22" s="48">
        <v>4</v>
      </c>
      <c r="H22" s="48">
        <v>4</v>
      </c>
      <c r="I22" s="48">
        <v>4</v>
      </c>
    </row>
    <row r="23" spans="1:9" ht="27.75" customHeight="1" x14ac:dyDescent="0.25">
      <c r="A23" s="18" t="s">
        <v>152</v>
      </c>
      <c r="B23" s="24" t="s">
        <v>153</v>
      </c>
      <c r="C23" s="24" t="s">
        <v>154</v>
      </c>
      <c r="D23" s="48">
        <v>4</v>
      </c>
      <c r="E23" s="47">
        <v>5</v>
      </c>
      <c r="F23" s="48">
        <v>4</v>
      </c>
      <c r="G23" s="47">
        <v>5</v>
      </c>
      <c r="H23" s="47">
        <v>5</v>
      </c>
      <c r="I23" s="47">
        <v>5</v>
      </c>
    </row>
    <row r="24" spans="1:9" ht="21.75" customHeight="1" x14ac:dyDescent="0.25">
      <c r="A24" s="50"/>
      <c r="B24" s="51" t="s">
        <v>155</v>
      </c>
      <c r="C24" s="50"/>
      <c r="D24" s="52">
        <f t="shared" ref="D24:I24" si="0">MAX(D4:D23)</f>
        <v>5</v>
      </c>
      <c r="E24" s="52">
        <f t="shared" si="0"/>
        <v>5</v>
      </c>
      <c r="F24" s="52">
        <f t="shared" si="0"/>
        <v>5</v>
      </c>
      <c r="G24" s="52">
        <f t="shared" si="0"/>
        <v>5</v>
      </c>
      <c r="H24" s="52">
        <f t="shared" si="0"/>
        <v>5</v>
      </c>
      <c r="I24" s="52">
        <f t="shared" si="0"/>
        <v>5</v>
      </c>
    </row>
    <row r="26" spans="1:9" ht="30" customHeight="1" x14ac:dyDescent="0.25">
      <c r="A26" s="10" t="s">
        <v>156</v>
      </c>
      <c r="B26" s="10"/>
      <c r="C26" s="10"/>
      <c r="D26" s="10"/>
      <c r="E26" s="10"/>
      <c r="F26" s="10"/>
      <c r="G26" s="10"/>
      <c r="H26" s="10"/>
      <c r="I26" s="10"/>
    </row>
  </sheetData>
  <mergeCells count="2">
    <mergeCell ref="A1:I1"/>
    <mergeCell ref="A26:I2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5"/>
  <sheetViews>
    <sheetView zoomScaleNormal="100" workbookViewId="0"/>
  </sheetViews>
  <sheetFormatPr defaultColWidth="8.7109375" defaultRowHeight="15" x14ac:dyDescent="0.25"/>
  <cols>
    <col min="1" max="1" width="6" customWidth="1"/>
    <col min="2" max="2" width="30" customWidth="1"/>
    <col min="3" max="15" width="11" customWidth="1"/>
    <col min="16" max="16" width="8" customWidth="1"/>
  </cols>
  <sheetData>
    <row r="1" spans="1:16" ht="34.5" customHeight="1" x14ac:dyDescent="0.25">
      <c r="A1" s="11" t="s">
        <v>157</v>
      </c>
      <c r="B1" s="11"/>
      <c r="C1" s="11"/>
      <c r="D1" s="11"/>
      <c r="E1" s="11"/>
      <c r="F1" s="11"/>
      <c r="G1" s="11"/>
      <c r="H1" s="11"/>
      <c r="I1" s="11"/>
      <c r="J1" s="11"/>
      <c r="K1" s="11"/>
      <c r="L1" s="11"/>
      <c r="M1" s="11"/>
      <c r="N1" s="11"/>
      <c r="O1" s="11"/>
      <c r="P1" s="11"/>
    </row>
    <row r="2" spans="1:16" ht="21.75" customHeight="1" x14ac:dyDescent="0.25">
      <c r="A2" s="3"/>
      <c r="B2" s="3"/>
      <c r="C2" s="2" t="s">
        <v>158</v>
      </c>
      <c r="D2" s="2"/>
      <c r="E2" s="2"/>
      <c r="F2" s="2"/>
      <c r="G2" s="2"/>
      <c r="H2" s="2"/>
      <c r="I2" s="1" t="s">
        <v>159</v>
      </c>
      <c r="J2" s="1"/>
      <c r="K2" s="1"/>
      <c r="L2" s="1"/>
      <c r="M2" s="1"/>
      <c r="N2" s="1"/>
      <c r="O2" s="2" t="s">
        <v>160</v>
      </c>
      <c r="P2" s="2"/>
    </row>
    <row r="3" spans="1:16" ht="39.75" customHeight="1" x14ac:dyDescent="0.25">
      <c r="A3" s="15" t="s">
        <v>2</v>
      </c>
      <c r="B3" s="15" t="s">
        <v>87</v>
      </c>
      <c r="C3" s="53" t="s">
        <v>161</v>
      </c>
      <c r="D3" s="53" t="s">
        <v>162</v>
      </c>
      <c r="E3" s="53" t="s">
        <v>163</v>
      </c>
      <c r="F3" s="53" t="s">
        <v>164</v>
      </c>
      <c r="G3" s="53" t="s">
        <v>165</v>
      </c>
      <c r="H3" s="53" t="s">
        <v>166</v>
      </c>
      <c r="I3" s="45" t="s">
        <v>167</v>
      </c>
      <c r="J3" s="45" t="s">
        <v>168</v>
      </c>
      <c r="K3" s="45" t="s">
        <v>169</v>
      </c>
      <c r="L3" s="45" t="s">
        <v>170</v>
      </c>
      <c r="M3" s="45" t="s">
        <v>171</v>
      </c>
      <c r="N3" s="45" t="s">
        <v>172</v>
      </c>
      <c r="O3" s="54" t="s">
        <v>173</v>
      </c>
      <c r="P3" s="55" t="s">
        <v>174</v>
      </c>
    </row>
    <row r="4" spans="1:16" ht="21.75" customHeight="1" x14ac:dyDescent="0.25">
      <c r="A4" s="56"/>
      <c r="B4" s="57" t="s">
        <v>175</v>
      </c>
      <c r="C4" s="58" t="s">
        <v>176</v>
      </c>
      <c r="D4" s="58" t="s">
        <v>176</v>
      </c>
      <c r="E4" s="58" t="s">
        <v>176</v>
      </c>
      <c r="F4" s="58" t="s">
        <v>176</v>
      </c>
      <c r="G4" s="58" t="s">
        <v>176</v>
      </c>
      <c r="H4" s="58" t="s">
        <v>176</v>
      </c>
      <c r="I4" s="59">
        <f>'Data Kriteria &amp; Bobot'!E4</f>
        <v>0.25</v>
      </c>
      <c r="J4" s="59">
        <f>'Data Kriteria &amp; Bobot'!E5</f>
        <v>0.2</v>
      </c>
      <c r="K4" s="59">
        <f>'Data Kriteria &amp; Bobot'!E6</f>
        <v>0.15</v>
      </c>
      <c r="L4" s="59">
        <f>'Data Kriteria &amp; Bobot'!E7</f>
        <v>0.2</v>
      </c>
      <c r="M4" s="59">
        <f>'Data Kriteria &amp; Bobot'!E8</f>
        <v>0.1</v>
      </c>
      <c r="N4" s="59">
        <f>'Data Kriteria &amp; Bobot'!E9</f>
        <v>0.1</v>
      </c>
      <c r="O4" s="60" t="s">
        <v>176</v>
      </c>
      <c r="P4" s="61" t="s">
        <v>176</v>
      </c>
    </row>
    <row r="5" spans="1:16" ht="24.75" customHeight="1" x14ac:dyDescent="0.25">
      <c r="A5" s="18" t="s">
        <v>95</v>
      </c>
      <c r="B5" s="46" t="s">
        <v>96</v>
      </c>
      <c r="C5" s="62">
        <f>'Data Destinasi'!D4/'Data Destinasi'!D24</f>
        <v>1</v>
      </c>
      <c r="D5" s="62">
        <f>'Data Destinasi'!E4/'Data Destinasi'!E24</f>
        <v>1</v>
      </c>
      <c r="E5" s="62">
        <f>'Data Destinasi'!F4/'Data Destinasi'!F24</f>
        <v>1</v>
      </c>
      <c r="F5" s="62">
        <f>'Data Destinasi'!G4/'Data Destinasi'!G24</f>
        <v>1</v>
      </c>
      <c r="G5" s="62">
        <f>'Data Destinasi'!H4/'Data Destinasi'!H24</f>
        <v>0.8</v>
      </c>
      <c r="H5" s="62">
        <f>'Data Destinasi'!I4/'Data Destinasi'!I24</f>
        <v>0.8</v>
      </c>
      <c r="I5" s="63">
        <f>C5*'Data Kriteria &amp; Bobot'!E4</f>
        <v>0.25</v>
      </c>
      <c r="J5" s="63">
        <f>D5*'Data Kriteria &amp; Bobot'!E5</f>
        <v>0.2</v>
      </c>
      <c r="K5" s="63">
        <f>E5*'Data Kriteria &amp; Bobot'!E6</f>
        <v>0.15</v>
      </c>
      <c r="L5" s="63">
        <f>F5*'Data Kriteria &amp; Bobot'!E7</f>
        <v>0.2</v>
      </c>
      <c r="M5" s="63">
        <f>G5*'Data Kriteria &amp; Bobot'!E8</f>
        <v>8.0000000000000016E-2</v>
      </c>
      <c r="N5" s="63">
        <f>H5*'Data Kriteria &amp; Bobot'!E9</f>
        <v>8.0000000000000016E-2</v>
      </c>
      <c r="O5" s="64">
        <f t="shared" ref="O5:O25" si="0">SUM(I5:N5)</f>
        <v>0.96000000000000019</v>
      </c>
      <c r="P5" s="65">
        <f t="shared" ref="P5:P24" si="1">RANK(O5,$O$5:$O$24,0)</f>
        <v>1</v>
      </c>
    </row>
    <row r="6" spans="1:16" ht="24.75" customHeight="1" x14ac:dyDescent="0.25">
      <c r="A6" s="18" t="s">
        <v>98</v>
      </c>
      <c r="B6" s="24" t="s">
        <v>99</v>
      </c>
      <c r="C6" s="66">
        <f>'Data Destinasi'!D5/'Data Destinasi'!D24</f>
        <v>1</v>
      </c>
      <c r="D6" s="66">
        <f>'Data Destinasi'!E5/'Data Destinasi'!E24</f>
        <v>1</v>
      </c>
      <c r="E6" s="66">
        <f>'Data Destinasi'!F5/'Data Destinasi'!F24</f>
        <v>0.8</v>
      </c>
      <c r="F6" s="66">
        <f>'Data Destinasi'!G5/'Data Destinasi'!G24</f>
        <v>1</v>
      </c>
      <c r="G6" s="66">
        <f>'Data Destinasi'!H5/'Data Destinasi'!H24</f>
        <v>0.8</v>
      </c>
      <c r="H6" s="66">
        <f>'Data Destinasi'!I5/'Data Destinasi'!I24</f>
        <v>0.8</v>
      </c>
      <c r="I6" s="67">
        <f>C6*'Data Kriteria &amp; Bobot'!E4</f>
        <v>0.25</v>
      </c>
      <c r="J6" s="67">
        <f>D6*'Data Kriteria &amp; Bobot'!E5</f>
        <v>0.2</v>
      </c>
      <c r="K6" s="67">
        <f>E6*'Data Kriteria &amp; Bobot'!E6</f>
        <v>0.12</v>
      </c>
      <c r="L6" s="67">
        <f>F6*'Data Kriteria &amp; Bobot'!E7</f>
        <v>0.2</v>
      </c>
      <c r="M6" s="67">
        <f>G6*'Data Kriteria &amp; Bobot'!E8</f>
        <v>8.0000000000000016E-2</v>
      </c>
      <c r="N6" s="67">
        <f>H6*'Data Kriteria &amp; Bobot'!E9</f>
        <v>8.0000000000000016E-2</v>
      </c>
      <c r="O6" s="64">
        <f t="shared" si="0"/>
        <v>0.93000000000000016</v>
      </c>
      <c r="P6" s="65">
        <f t="shared" si="1"/>
        <v>2</v>
      </c>
    </row>
    <row r="7" spans="1:16" ht="24.75" customHeight="1" x14ac:dyDescent="0.25">
      <c r="A7" s="18" t="s">
        <v>101</v>
      </c>
      <c r="B7" s="46" t="s">
        <v>102</v>
      </c>
      <c r="C7" s="62">
        <f>'Data Destinasi'!D6/'Data Destinasi'!D24</f>
        <v>1</v>
      </c>
      <c r="D7" s="62">
        <f>'Data Destinasi'!E6/'Data Destinasi'!E24</f>
        <v>1</v>
      </c>
      <c r="E7" s="62">
        <f>'Data Destinasi'!F6/'Data Destinasi'!F24</f>
        <v>0.8</v>
      </c>
      <c r="F7" s="62">
        <f>'Data Destinasi'!G6/'Data Destinasi'!G24</f>
        <v>0.8</v>
      </c>
      <c r="G7" s="62">
        <f>'Data Destinasi'!H6/'Data Destinasi'!H24</f>
        <v>0.8</v>
      </c>
      <c r="H7" s="62">
        <f>'Data Destinasi'!I6/'Data Destinasi'!I24</f>
        <v>0.8</v>
      </c>
      <c r="I7" s="63">
        <f>C7*'Data Kriteria &amp; Bobot'!E4</f>
        <v>0.25</v>
      </c>
      <c r="J7" s="63">
        <f>D7*'Data Kriteria &amp; Bobot'!E5</f>
        <v>0.2</v>
      </c>
      <c r="K7" s="63">
        <f>E7*'Data Kriteria &amp; Bobot'!E6</f>
        <v>0.12</v>
      </c>
      <c r="L7" s="63">
        <f>F7*'Data Kriteria &amp; Bobot'!E7</f>
        <v>0.16000000000000003</v>
      </c>
      <c r="M7" s="63">
        <f>G7*'Data Kriteria &amp; Bobot'!E8</f>
        <v>8.0000000000000016E-2</v>
      </c>
      <c r="N7" s="63">
        <f>H7*'Data Kriteria &amp; Bobot'!E9</f>
        <v>8.0000000000000016E-2</v>
      </c>
      <c r="O7" s="64">
        <f t="shared" si="0"/>
        <v>0.89000000000000012</v>
      </c>
      <c r="P7" s="65">
        <f t="shared" si="1"/>
        <v>6</v>
      </c>
    </row>
    <row r="8" spans="1:16" ht="24.75" customHeight="1" x14ac:dyDescent="0.25">
      <c r="A8" s="18" t="s">
        <v>104</v>
      </c>
      <c r="B8" s="24" t="s">
        <v>105</v>
      </c>
      <c r="C8" s="66">
        <f>'Data Destinasi'!D7/'Data Destinasi'!D24</f>
        <v>0.8</v>
      </c>
      <c r="D8" s="66">
        <f>'Data Destinasi'!E7/'Data Destinasi'!E24</f>
        <v>0.8</v>
      </c>
      <c r="E8" s="66">
        <f>'Data Destinasi'!F7/'Data Destinasi'!F24</f>
        <v>1</v>
      </c>
      <c r="F8" s="66">
        <f>'Data Destinasi'!G7/'Data Destinasi'!G24</f>
        <v>0.8</v>
      </c>
      <c r="G8" s="66">
        <f>'Data Destinasi'!H7/'Data Destinasi'!H24</f>
        <v>0.6</v>
      </c>
      <c r="H8" s="66">
        <f>'Data Destinasi'!I7/'Data Destinasi'!I24</f>
        <v>0.8</v>
      </c>
      <c r="I8" s="67">
        <f>C8*'Data Kriteria &amp; Bobot'!E4</f>
        <v>0.2</v>
      </c>
      <c r="J8" s="67">
        <f>D8*'Data Kriteria &amp; Bobot'!E5</f>
        <v>0.16000000000000003</v>
      </c>
      <c r="K8" s="67">
        <f>E8*'Data Kriteria &amp; Bobot'!E6</f>
        <v>0.15</v>
      </c>
      <c r="L8" s="67">
        <f>F8*'Data Kriteria &amp; Bobot'!E7</f>
        <v>0.16000000000000003</v>
      </c>
      <c r="M8" s="67">
        <f>G8*'Data Kriteria &amp; Bobot'!E8</f>
        <v>0.06</v>
      </c>
      <c r="N8" s="67">
        <f>H8*'Data Kriteria &amp; Bobot'!E9</f>
        <v>8.0000000000000016E-2</v>
      </c>
      <c r="O8" s="64">
        <f t="shared" si="0"/>
        <v>0.81</v>
      </c>
      <c r="P8" s="65">
        <f t="shared" si="1"/>
        <v>12</v>
      </c>
    </row>
    <row r="9" spans="1:16" ht="24.75" customHeight="1" x14ac:dyDescent="0.25">
      <c r="A9" s="18" t="s">
        <v>107</v>
      </c>
      <c r="B9" s="46" t="s">
        <v>108</v>
      </c>
      <c r="C9" s="62">
        <f>'Data Destinasi'!D8/'Data Destinasi'!D24</f>
        <v>0.8</v>
      </c>
      <c r="D9" s="62">
        <f>'Data Destinasi'!E8/'Data Destinasi'!E24</f>
        <v>0.8</v>
      </c>
      <c r="E9" s="62">
        <f>'Data Destinasi'!F8/'Data Destinasi'!F24</f>
        <v>0.8</v>
      </c>
      <c r="F9" s="62">
        <f>'Data Destinasi'!G8/'Data Destinasi'!G24</f>
        <v>0.8</v>
      </c>
      <c r="G9" s="62">
        <f>'Data Destinasi'!H8/'Data Destinasi'!H24</f>
        <v>1</v>
      </c>
      <c r="H9" s="62">
        <f>'Data Destinasi'!I8/'Data Destinasi'!I24</f>
        <v>0.6</v>
      </c>
      <c r="I9" s="63">
        <f>C9*'Data Kriteria &amp; Bobot'!E4</f>
        <v>0.2</v>
      </c>
      <c r="J9" s="63">
        <f>D9*'Data Kriteria &amp; Bobot'!E5</f>
        <v>0.16000000000000003</v>
      </c>
      <c r="K9" s="63">
        <f>E9*'Data Kriteria &amp; Bobot'!E6</f>
        <v>0.12</v>
      </c>
      <c r="L9" s="63">
        <f>F9*'Data Kriteria &amp; Bobot'!E7</f>
        <v>0.16000000000000003</v>
      </c>
      <c r="M9" s="63">
        <f>G9*'Data Kriteria &amp; Bobot'!E8</f>
        <v>0.1</v>
      </c>
      <c r="N9" s="63">
        <f>H9*'Data Kriteria &amp; Bobot'!E9</f>
        <v>0.06</v>
      </c>
      <c r="O9" s="64">
        <f t="shared" si="0"/>
        <v>0.8</v>
      </c>
      <c r="P9" s="65">
        <f t="shared" si="1"/>
        <v>14</v>
      </c>
    </row>
    <row r="10" spans="1:16" ht="24.75" customHeight="1" x14ac:dyDescent="0.25">
      <c r="A10" s="18" t="s">
        <v>110</v>
      </c>
      <c r="B10" s="24" t="s">
        <v>111</v>
      </c>
      <c r="C10" s="66">
        <f>'Data Destinasi'!D9/'Data Destinasi'!D24</f>
        <v>0.8</v>
      </c>
      <c r="D10" s="66">
        <f>'Data Destinasi'!E9/'Data Destinasi'!E24</f>
        <v>1</v>
      </c>
      <c r="E10" s="66">
        <f>'Data Destinasi'!F9/'Data Destinasi'!F24</f>
        <v>1</v>
      </c>
      <c r="F10" s="66">
        <f>'Data Destinasi'!G9/'Data Destinasi'!G24</f>
        <v>0.8</v>
      </c>
      <c r="G10" s="66">
        <f>'Data Destinasi'!H9/'Data Destinasi'!H24</f>
        <v>1</v>
      </c>
      <c r="H10" s="66">
        <f>'Data Destinasi'!I9/'Data Destinasi'!I24</f>
        <v>1</v>
      </c>
      <c r="I10" s="67">
        <f>C10*'Data Kriteria &amp; Bobot'!E4</f>
        <v>0.2</v>
      </c>
      <c r="J10" s="67">
        <f>D10*'Data Kriteria &amp; Bobot'!E5</f>
        <v>0.2</v>
      </c>
      <c r="K10" s="67">
        <f>E10*'Data Kriteria &amp; Bobot'!E6</f>
        <v>0.15</v>
      </c>
      <c r="L10" s="67">
        <f>F10*'Data Kriteria &amp; Bobot'!E7</f>
        <v>0.16000000000000003</v>
      </c>
      <c r="M10" s="67">
        <f>G10*'Data Kriteria &amp; Bobot'!E8</f>
        <v>0.1</v>
      </c>
      <c r="N10" s="67">
        <f>H10*'Data Kriteria &amp; Bobot'!E9</f>
        <v>0.1</v>
      </c>
      <c r="O10" s="64">
        <f t="shared" si="0"/>
        <v>0.91</v>
      </c>
      <c r="P10" s="65">
        <f t="shared" si="1"/>
        <v>5</v>
      </c>
    </row>
    <row r="11" spans="1:16" ht="24.75" customHeight="1" x14ac:dyDescent="0.25">
      <c r="A11" s="18" t="s">
        <v>113</v>
      </c>
      <c r="B11" s="46" t="s">
        <v>114</v>
      </c>
      <c r="C11" s="62">
        <f>'Data Destinasi'!D10/'Data Destinasi'!D24</f>
        <v>0.8</v>
      </c>
      <c r="D11" s="62">
        <f>'Data Destinasi'!E10/'Data Destinasi'!E24</f>
        <v>0.8</v>
      </c>
      <c r="E11" s="62">
        <f>'Data Destinasi'!F10/'Data Destinasi'!F24</f>
        <v>0.8</v>
      </c>
      <c r="F11" s="62">
        <f>'Data Destinasi'!G10/'Data Destinasi'!G24</f>
        <v>0.8</v>
      </c>
      <c r="G11" s="62">
        <f>'Data Destinasi'!H10/'Data Destinasi'!H24</f>
        <v>0.6</v>
      </c>
      <c r="H11" s="62">
        <f>'Data Destinasi'!I10/'Data Destinasi'!I24</f>
        <v>0.6</v>
      </c>
      <c r="I11" s="63">
        <f>C11*'Data Kriteria &amp; Bobot'!E4</f>
        <v>0.2</v>
      </c>
      <c r="J11" s="63">
        <f>D11*'Data Kriteria &amp; Bobot'!E5</f>
        <v>0.16000000000000003</v>
      </c>
      <c r="K11" s="63">
        <f>E11*'Data Kriteria &amp; Bobot'!E6</f>
        <v>0.12</v>
      </c>
      <c r="L11" s="63">
        <f>F11*'Data Kriteria &amp; Bobot'!E7</f>
        <v>0.16000000000000003</v>
      </c>
      <c r="M11" s="63">
        <f>G11*'Data Kriteria &amp; Bobot'!E8</f>
        <v>0.06</v>
      </c>
      <c r="N11" s="63">
        <f>H11*'Data Kriteria &amp; Bobot'!E9</f>
        <v>0.06</v>
      </c>
      <c r="O11" s="64">
        <f t="shared" si="0"/>
        <v>0.76000000000000023</v>
      </c>
      <c r="P11" s="65">
        <f t="shared" si="1"/>
        <v>17</v>
      </c>
    </row>
    <row r="12" spans="1:16" ht="24.75" customHeight="1" x14ac:dyDescent="0.25">
      <c r="A12" s="18" t="s">
        <v>116</v>
      </c>
      <c r="B12" s="24" t="s">
        <v>117</v>
      </c>
      <c r="C12" s="66">
        <f>'Data Destinasi'!D11/'Data Destinasi'!D24</f>
        <v>1</v>
      </c>
      <c r="D12" s="66">
        <f>'Data Destinasi'!E11/'Data Destinasi'!E24</f>
        <v>1</v>
      </c>
      <c r="E12" s="66">
        <f>'Data Destinasi'!F11/'Data Destinasi'!F24</f>
        <v>0.8</v>
      </c>
      <c r="F12" s="66">
        <f>'Data Destinasi'!G11/'Data Destinasi'!G24</f>
        <v>0.8</v>
      </c>
      <c r="G12" s="66">
        <f>'Data Destinasi'!H11/'Data Destinasi'!H24</f>
        <v>1</v>
      </c>
      <c r="H12" s="66">
        <f>'Data Destinasi'!I11/'Data Destinasi'!I24</f>
        <v>0.6</v>
      </c>
      <c r="I12" s="67">
        <f>C12*'Data Kriteria &amp; Bobot'!E4</f>
        <v>0.25</v>
      </c>
      <c r="J12" s="67">
        <f>D12*'Data Kriteria &amp; Bobot'!E5</f>
        <v>0.2</v>
      </c>
      <c r="K12" s="67">
        <f>E12*'Data Kriteria &amp; Bobot'!E6</f>
        <v>0.12</v>
      </c>
      <c r="L12" s="67">
        <f>F12*'Data Kriteria &amp; Bobot'!E7</f>
        <v>0.16000000000000003</v>
      </c>
      <c r="M12" s="67">
        <f>G12*'Data Kriteria &amp; Bobot'!E8</f>
        <v>0.1</v>
      </c>
      <c r="N12" s="67">
        <f>H12*'Data Kriteria &amp; Bobot'!E9</f>
        <v>0.06</v>
      </c>
      <c r="O12" s="64">
        <f t="shared" si="0"/>
        <v>0.89000000000000012</v>
      </c>
      <c r="P12" s="65">
        <f t="shared" si="1"/>
        <v>6</v>
      </c>
    </row>
    <row r="13" spans="1:16" ht="24.75" customHeight="1" x14ac:dyDescent="0.25">
      <c r="A13" s="18" t="s">
        <v>119</v>
      </c>
      <c r="B13" s="46" t="s">
        <v>120</v>
      </c>
      <c r="C13" s="62">
        <f>'Data Destinasi'!D12/'Data Destinasi'!D24</f>
        <v>1</v>
      </c>
      <c r="D13" s="62">
        <f>'Data Destinasi'!E12/'Data Destinasi'!E24</f>
        <v>0.8</v>
      </c>
      <c r="E13" s="62">
        <f>'Data Destinasi'!F12/'Data Destinasi'!F24</f>
        <v>0.6</v>
      </c>
      <c r="F13" s="62">
        <f>'Data Destinasi'!G12/'Data Destinasi'!G24</f>
        <v>0.6</v>
      </c>
      <c r="G13" s="62">
        <f>'Data Destinasi'!H12/'Data Destinasi'!H24</f>
        <v>0.8</v>
      </c>
      <c r="H13" s="62">
        <f>'Data Destinasi'!I12/'Data Destinasi'!I24</f>
        <v>0.6</v>
      </c>
      <c r="I13" s="63">
        <f>C13*'Data Kriteria &amp; Bobot'!E4</f>
        <v>0.25</v>
      </c>
      <c r="J13" s="63">
        <f>D13*'Data Kriteria &amp; Bobot'!E5</f>
        <v>0.16000000000000003</v>
      </c>
      <c r="K13" s="63">
        <f>E13*'Data Kriteria &amp; Bobot'!E6</f>
        <v>0.09</v>
      </c>
      <c r="L13" s="63">
        <f>F13*'Data Kriteria &amp; Bobot'!E7</f>
        <v>0.12</v>
      </c>
      <c r="M13" s="63">
        <f>G13*'Data Kriteria &amp; Bobot'!E8</f>
        <v>8.0000000000000016E-2</v>
      </c>
      <c r="N13" s="63">
        <f>H13*'Data Kriteria &amp; Bobot'!E9</f>
        <v>0.06</v>
      </c>
      <c r="O13" s="64">
        <f t="shared" si="0"/>
        <v>0.76</v>
      </c>
      <c r="P13" s="65">
        <f t="shared" si="1"/>
        <v>20</v>
      </c>
    </row>
    <row r="14" spans="1:16" ht="24.75" customHeight="1" x14ac:dyDescent="0.25">
      <c r="A14" s="18" t="s">
        <v>122</v>
      </c>
      <c r="B14" s="24" t="s">
        <v>123</v>
      </c>
      <c r="C14" s="66">
        <f>'Data Destinasi'!D13/'Data Destinasi'!D24</f>
        <v>0.8</v>
      </c>
      <c r="D14" s="66">
        <f>'Data Destinasi'!E13/'Data Destinasi'!E24</f>
        <v>0.8</v>
      </c>
      <c r="E14" s="66">
        <f>'Data Destinasi'!F13/'Data Destinasi'!F24</f>
        <v>1</v>
      </c>
      <c r="F14" s="66">
        <f>'Data Destinasi'!G13/'Data Destinasi'!G24</f>
        <v>0.8</v>
      </c>
      <c r="G14" s="66">
        <f>'Data Destinasi'!H13/'Data Destinasi'!H24</f>
        <v>0.6</v>
      </c>
      <c r="H14" s="66">
        <f>'Data Destinasi'!I13/'Data Destinasi'!I24</f>
        <v>0.8</v>
      </c>
      <c r="I14" s="67">
        <f>C14*'Data Kriteria &amp; Bobot'!E4</f>
        <v>0.2</v>
      </c>
      <c r="J14" s="67">
        <f>D14*'Data Kriteria &amp; Bobot'!E5</f>
        <v>0.16000000000000003</v>
      </c>
      <c r="K14" s="67">
        <f>E14*'Data Kriteria &amp; Bobot'!E6</f>
        <v>0.15</v>
      </c>
      <c r="L14" s="67">
        <f>F14*'Data Kriteria &amp; Bobot'!E7</f>
        <v>0.16000000000000003</v>
      </c>
      <c r="M14" s="67">
        <f>G14*'Data Kriteria &amp; Bobot'!E8</f>
        <v>0.06</v>
      </c>
      <c r="N14" s="67">
        <f>H14*'Data Kriteria &amp; Bobot'!E9</f>
        <v>8.0000000000000016E-2</v>
      </c>
      <c r="O14" s="64">
        <f t="shared" si="0"/>
        <v>0.81</v>
      </c>
      <c r="P14" s="65">
        <f t="shared" si="1"/>
        <v>12</v>
      </c>
    </row>
    <row r="15" spans="1:16" ht="24.75" customHeight="1" x14ac:dyDescent="0.25">
      <c r="A15" s="18" t="s">
        <v>125</v>
      </c>
      <c r="B15" s="46" t="s">
        <v>126</v>
      </c>
      <c r="C15" s="62">
        <f>'Data Destinasi'!D14/'Data Destinasi'!D24</f>
        <v>1</v>
      </c>
      <c r="D15" s="62">
        <f>'Data Destinasi'!E14/'Data Destinasi'!E24</f>
        <v>1</v>
      </c>
      <c r="E15" s="62">
        <f>'Data Destinasi'!F14/'Data Destinasi'!F24</f>
        <v>0.8</v>
      </c>
      <c r="F15" s="62">
        <f>'Data Destinasi'!G14/'Data Destinasi'!G24</f>
        <v>1</v>
      </c>
      <c r="G15" s="62">
        <f>'Data Destinasi'!H14/'Data Destinasi'!H24</f>
        <v>0.8</v>
      </c>
      <c r="H15" s="62">
        <f>'Data Destinasi'!I14/'Data Destinasi'!I24</f>
        <v>0.8</v>
      </c>
      <c r="I15" s="63">
        <f>C15*'Data Kriteria &amp; Bobot'!E4</f>
        <v>0.25</v>
      </c>
      <c r="J15" s="63">
        <f>D15*'Data Kriteria &amp; Bobot'!E5</f>
        <v>0.2</v>
      </c>
      <c r="K15" s="63">
        <f>E15*'Data Kriteria &amp; Bobot'!E6</f>
        <v>0.12</v>
      </c>
      <c r="L15" s="63">
        <f>F15*'Data Kriteria &amp; Bobot'!E7</f>
        <v>0.2</v>
      </c>
      <c r="M15" s="63">
        <f>G15*'Data Kriteria &amp; Bobot'!E8</f>
        <v>8.0000000000000016E-2</v>
      </c>
      <c r="N15" s="63">
        <f>H15*'Data Kriteria &amp; Bobot'!E9</f>
        <v>8.0000000000000016E-2</v>
      </c>
      <c r="O15" s="64">
        <f t="shared" si="0"/>
        <v>0.93000000000000016</v>
      </c>
      <c r="P15" s="65">
        <f t="shared" si="1"/>
        <v>2</v>
      </c>
    </row>
    <row r="16" spans="1:16" ht="24.75" customHeight="1" x14ac:dyDescent="0.25">
      <c r="A16" s="18" t="s">
        <v>128</v>
      </c>
      <c r="B16" s="24" t="s">
        <v>129</v>
      </c>
      <c r="C16" s="66">
        <f>'Data Destinasi'!D15/'Data Destinasi'!D24</f>
        <v>1</v>
      </c>
      <c r="D16" s="66">
        <f>'Data Destinasi'!E15/'Data Destinasi'!E24</f>
        <v>1</v>
      </c>
      <c r="E16" s="66">
        <f>'Data Destinasi'!F15/'Data Destinasi'!F24</f>
        <v>0.6</v>
      </c>
      <c r="F16" s="66">
        <f>'Data Destinasi'!G15/'Data Destinasi'!G24</f>
        <v>0.6</v>
      </c>
      <c r="G16" s="66">
        <f>'Data Destinasi'!H15/'Data Destinasi'!H24</f>
        <v>0.8</v>
      </c>
      <c r="H16" s="66">
        <f>'Data Destinasi'!I15/'Data Destinasi'!I24</f>
        <v>0.6</v>
      </c>
      <c r="I16" s="67">
        <f>C16*'Data Kriteria &amp; Bobot'!E4</f>
        <v>0.25</v>
      </c>
      <c r="J16" s="67">
        <f>D16*'Data Kriteria &amp; Bobot'!E5</f>
        <v>0.2</v>
      </c>
      <c r="K16" s="67">
        <f>E16*'Data Kriteria &amp; Bobot'!E6</f>
        <v>0.09</v>
      </c>
      <c r="L16" s="67">
        <f>F16*'Data Kriteria &amp; Bobot'!E7</f>
        <v>0.12</v>
      </c>
      <c r="M16" s="67">
        <f>G16*'Data Kriteria &amp; Bobot'!E8</f>
        <v>8.0000000000000016E-2</v>
      </c>
      <c r="N16" s="67">
        <f>H16*'Data Kriteria &amp; Bobot'!E9</f>
        <v>0.06</v>
      </c>
      <c r="O16" s="64">
        <f t="shared" si="0"/>
        <v>0.8</v>
      </c>
      <c r="P16" s="65">
        <f t="shared" si="1"/>
        <v>14</v>
      </c>
    </row>
    <row r="17" spans="1:16" ht="24.75" customHeight="1" x14ac:dyDescent="0.25">
      <c r="A17" s="18" t="s">
        <v>131</v>
      </c>
      <c r="B17" s="46" t="s">
        <v>132</v>
      </c>
      <c r="C17" s="62">
        <f>'Data Destinasi'!D16/'Data Destinasi'!D24</f>
        <v>0.6</v>
      </c>
      <c r="D17" s="62">
        <f>'Data Destinasi'!E16/'Data Destinasi'!E24</f>
        <v>0.8</v>
      </c>
      <c r="E17" s="62">
        <f>'Data Destinasi'!F16/'Data Destinasi'!F24</f>
        <v>1</v>
      </c>
      <c r="F17" s="62">
        <f>'Data Destinasi'!G16/'Data Destinasi'!G24</f>
        <v>0.8</v>
      </c>
      <c r="G17" s="62">
        <f>'Data Destinasi'!H16/'Data Destinasi'!H24</f>
        <v>0.6</v>
      </c>
      <c r="H17" s="62">
        <f>'Data Destinasi'!I16/'Data Destinasi'!I24</f>
        <v>0.8</v>
      </c>
      <c r="I17" s="63">
        <f>C17*'Data Kriteria &amp; Bobot'!E4</f>
        <v>0.15</v>
      </c>
      <c r="J17" s="63">
        <f>D17*'Data Kriteria &amp; Bobot'!E5</f>
        <v>0.16000000000000003</v>
      </c>
      <c r="K17" s="63">
        <f>E17*'Data Kriteria &amp; Bobot'!E6</f>
        <v>0.15</v>
      </c>
      <c r="L17" s="63">
        <f>F17*'Data Kriteria &amp; Bobot'!E7</f>
        <v>0.16000000000000003</v>
      </c>
      <c r="M17" s="63">
        <f>G17*'Data Kriteria &amp; Bobot'!E8</f>
        <v>0.06</v>
      </c>
      <c r="N17" s="63">
        <f>H17*'Data Kriteria &amp; Bobot'!E9</f>
        <v>8.0000000000000016E-2</v>
      </c>
      <c r="O17" s="64">
        <f t="shared" si="0"/>
        <v>0.76000000000000023</v>
      </c>
      <c r="P17" s="65">
        <f t="shared" si="1"/>
        <v>17</v>
      </c>
    </row>
    <row r="18" spans="1:16" ht="24.75" customHeight="1" x14ac:dyDescent="0.25">
      <c r="A18" s="18" t="s">
        <v>134</v>
      </c>
      <c r="B18" s="24" t="s">
        <v>135</v>
      </c>
      <c r="C18" s="66">
        <f>'Data Destinasi'!D17/'Data Destinasi'!D24</f>
        <v>0.8</v>
      </c>
      <c r="D18" s="66">
        <f>'Data Destinasi'!E17/'Data Destinasi'!E24</f>
        <v>0.8</v>
      </c>
      <c r="E18" s="66">
        <f>'Data Destinasi'!F17/'Data Destinasi'!F24</f>
        <v>0.8</v>
      </c>
      <c r="F18" s="66">
        <f>'Data Destinasi'!G17/'Data Destinasi'!G24</f>
        <v>0.8</v>
      </c>
      <c r="G18" s="66">
        <f>'Data Destinasi'!H17/'Data Destinasi'!H24</f>
        <v>0.8</v>
      </c>
      <c r="H18" s="66">
        <f>'Data Destinasi'!I17/'Data Destinasi'!I24</f>
        <v>0.6</v>
      </c>
      <c r="I18" s="67">
        <f>C18*'Data Kriteria &amp; Bobot'!E4</f>
        <v>0.2</v>
      </c>
      <c r="J18" s="67">
        <f>D18*'Data Kriteria &amp; Bobot'!E5</f>
        <v>0.16000000000000003</v>
      </c>
      <c r="K18" s="67">
        <f>E18*'Data Kriteria &amp; Bobot'!E6</f>
        <v>0.12</v>
      </c>
      <c r="L18" s="67">
        <f>F18*'Data Kriteria &amp; Bobot'!E7</f>
        <v>0.16000000000000003</v>
      </c>
      <c r="M18" s="67">
        <f>G18*'Data Kriteria &amp; Bobot'!E8</f>
        <v>8.0000000000000016E-2</v>
      </c>
      <c r="N18" s="67">
        <f>H18*'Data Kriteria &amp; Bobot'!E9</f>
        <v>0.06</v>
      </c>
      <c r="O18" s="64">
        <f t="shared" si="0"/>
        <v>0.78000000000000025</v>
      </c>
      <c r="P18" s="65">
        <f t="shared" si="1"/>
        <v>16</v>
      </c>
    </row>
    <row r="19" spans="1:16" ht="24.75" customHeight="1" x14ac:dyDescent="0.25">
      <c r="A19" s="18" t="s">
        <v>137</v>
      </c>
      <c r="B19" s="46" t="s">
        <v>138</v>
      </c>
      <c r="C19" s="62">
        <f>'Data Destinasi'!D18/'Data Destinasi'!D24</f>
        <v>1</v>
      </c>
      <c r="D19" s="62">
        <f>'Data Destinasi'!E18/'Data Destinasi'!E24</f>
        <v>1</v>
      </c>
      <c r="E19" s="62">
        <f>'Data Destinasi'!F18/'Data Destinasi'!F24</f>
        <v>0.6</v>
      </c>
      <c r="F19" s="62">
        <f>'Data Destinasi'!G18/'Data Destinasi'!G24</f>
        <v>0.6</v>
      </c>
      <c r="G19" s="62">
        <f>'Data Destinasi'!H18/'Data Destinasi'!H24</f>
        <v>1</v>
      </c>
      <c r="H19" s="62">
        <f>'Data Destinasi'!I18/'Data Destinasi'!I24</f>
        <v>0.6</v>
      </c>
      <c r="I19" s="63">
        <f>C19*'Data Kriteria &amp; Bobot'!E4</f>
        <v>0.25</v>
      </c>
      <c r="J19" s="63">
        <f>D19*'Data Kriteria &amp; Bobot'!E5</f>
        <v>0.2</v>
      </c>
      <c r="K19" s="63">
        <f>E19*'Data Kriteria &amp; Bobot'!E6</f>
        <v>0.09</v>
      </c>
      <c r="L19" s="63">
        <f>F19*'Data Kriteria &amp; Bobot'!E7</f>
        <v>0.12</v>
      </c>
      <c r="M19" s="63">
        <f>G19*'Data Kriteria &amp; Bobot'!E8</f>
        <v>0.1</v>
      </c>
      <c r="N19" s="63">
        <f>H19*'Data Kriteria &amp; Bobot'!E9</f>
        <v>0.06</v>
      </c>
      <c r="O19" s="64">
        <f t="shared" si="0"/>
        <v>0.82000000000000006</v>
      </c>
      <c r="P19" s="65">
        <f t="shared" si="1"/>
        <v>11</v>
      </c>
    </row>
    <row r="20" spans="1:16" ht="24.75" customHeight="1" x14ac:dyDescent="0.25">
      <c r="A20" s="18" t="s">
        <v>140</v>
      </c>
      <c r="B20" s="24" t="s">
        <v>141</v>
      </c>
      <c r="C20" s="66">
        <f>'Data Destinasi'!D19/'Data Destinasi'!D24</f>
        <v>1</v>
      </c>
      <c r="D20" s="66">
        <f>'Data Destinasi'!E19/'Data Destinasi'!E24</f>
        <v>1</v>
      </c>
      <c r="E20" s="66">
        <f>'Data Destinasi'!F19/'Data Destinasi'!F24</f>
        <v>0.6</v>
      </c>
      <c r="F20" s="66">
        <f>'Data Destinasi'!G19/'Data Destinasi'!G24</f>
        <v>0.8</v>
      </c>
      <c r="G20" s="66">
        <f>'Data Destinasi'!H19/'Data Destinasi'!H24</f>
        <v>0.8</v>
      </c>
      <c r="H20" s="66">
        <f>'Data Destinasi'!I19/'Data Destinasi'!I24</f>
        <v>0.6</v>
      </c>
      <c r="I20" s="67">
        <f>C20*'Data Kriteria &amp; Bobot'!E4</f>
        <v>0.25</v>
      </c>
      <c r="J20" s="67">
        <f>D20*'Data Kriteria &amp; Bobot'!E5</f>
        <v>0.2</v>
      </c>
      <c r="K20" s="67">
        <f>E20*'Data Kriteria &amp; Bobot'!E6</f>
        <v>0.09</v>
      </c>
      <c r="L20" s="67">
        <f>F20*'Data Kriteria &amp; Bobot'!E7</f>
        <v>0.16000000000000003</v>
      </c>
      <c r="M20" s="67">
        <f>G20*'Data Kriteria &amp; Bobot'!E8</f>
        <v>8.0000000000000016E-2</v>
      </c>
      <c r="N20" s="67">
        <f>H20*'Data Kriteria &amp; Bobot'!E9</f>
        <v>0.06</v>
      </c>
      <c r="O20" s="64">
        <f t="shared" si="0"/>
        <v>0.84000000000000008</v>
      </c>
      <c r="P20" s="65">
        <f t="shared" si="1"/>
        <v>9</v>
      </c>
    </row>
    <row r="21" spans="1:16" ht="24.75" customHeight="1" x14ac:dyDescent="0.25">
      <c r="A21" s="18" t="s">
        <v>143</v>
      </c>
      <c r="B21" s="46" t="s">
        <v>144</v>
      </c>
      <c r="C21" s="62">
        <f>'Data Destinasi'!D20/'Data Destinasi'!D24</f>
        <v>0.8</v>
      </c>
      <c r="D21" s="62">
        <f>'Data Destinasi'!E20/'Data Destinasi'!E24</f>
        <v>0.8</v>
      </c>
      <c r="E21" s="62">
        <f>'Data Destinasi'!F20/'Data Destinasi'!F24</f>
        <v>0.8</v>
      </c>
      <c r="F21" s="62">
        <f>'Data Destinasi'!G20/'Data Destinasi'!G24</f>
        <v>0.8</v>
      </c>
      <c r="G21" s="62">
        <f>'Data Destinasi'!H20/'Data Destinasi'!H24</f>
        <v>0.6</v>
      </c>
      <c r="H21" s="62">
        <f>'Data Destinasi'!I20/'Data Destinasi'!I24</f>
        <v>0.6</v>
      </c>
      <c r="I21" s="63">
        <f>C21*'Data Kriteria &amp; Bobot'!E4</f>
        <v>0.2</v>
      </c>
      <c r="J21" s="63">
        <f>D21*'Data Kriteria &amp; Bobot'!E5</f>
        <v>0.16000000000000003</v>
      </c>
      <c r="K21" s="63">
        <f>E21*'Data Kriteria &amp; Bobot'!E6</f>
        <v>0.12</v>
      </c>
      <c r="L21" s="63">
        <f>F21*'Data Kriteria &amp; Bobot'!E7</f>
        <v>0.16000000000000003</v>
      </c>
      <c r="M21" s="63">
        <f>G21*'Data Kriteria &amp; Bobot'!E8</f>
        <v>0.06</v>
      </c>
      <c r="N21" s="63">
        <f>H21*'Data Kriteria &amp; Bobot'!E9</f>
        <v>0.06</v>
      </c>
      <c r="O21" s="64">
        <f t="shared" si="0"/>
        <v>0.76000000000000023</v>
      </c>
      <c r="P21" s="65">
        <f t="shared" si="1"/>
        <v>17</v>
      </c>
    </row>
    <row r="22" spans="1:16" ht="24.75" customHeight="1" x14ac:dyDescent="0.25">
      <c r="A22" s="18" t="s">
        <v>146</v>
      </c>
      <c r="B22" s="24" t="s">
        <v>147</v>
      </c>
      <c r="C22" s="66">
        <f>'Data Destinasi'!D21/'Data Destinasi'!D24</f>
        <v>1</v>
      </c>
      <c r="D22" s="66">
        <f>'Data Destinasi'!E21/'Data Destinasi'!E24</f>
        <v>1</v>
      </c>
      <c r="E22" s="66">
        <f>'Data Destinasi'!F21/'Data Destinasi'!F24</f>
        <v>0.6</v>
      </c>
      <c r="F22" s="66">
        <f>'Data Destinasi'!G21/'Data Destinasi'!G24</f>
        <v>0.8</v>
      </c>
      <c r="G22" s="66">
        <f>'Data Destinasi'!H21/'Data Destinasi'!H24</f>
        <v>0.8</v>
      </c>
      <c r="H22" s="66">
        <f>'Data Destinasi'!I21/'Data Destinasi'!I24</f>
        <v>0.6</v>
      </c>
      <c r="I22" s="67">
        <f>C22*'Data Kriteria &amp; Bobot'!E4</f>
        <v>0.25</v>
      </c>
      <c r="J22" s="67">
        <f>D22*'Data Kriteria &amp; Bobot'!E5</f>
        <v>0.2</v>
      </c>
      <c r="K22" s="67">
        <f>E22*'Data Kriteria &amp; Bobot'!E6</f>
        <v>0.09</v>
      </c>
      <c r="L22" s="67">
        <f>F22*'Data Kriteria &amp; Bobot'!E7</f>
        <v>0.16000000000000003</v>
      </c>
      <c r="M22" s="67">
        <f>G22*'Data Kriteria &amp; Bobot'!E8</f>
        <v>8.0000000000000016E-2</v>
      </c>
      <c r="N22" s="67">
        <f>H22*'Data Kriteria &amp; Bobot'!E9</f>
        <v>0.06</v>
      </c>
      <c r="O22" s="64">
        <f t="shared" si="0"/>
        <v>0.84000000000000008</v>
      </c>
      <c r="P22" s="65">
        <f t="shared" si="1"/>
        <v>9</v>
      </c>
    </row>
    <row r="23" spans="1:16" ht="24.75" customHeight="1" x14ac:dyDescent="0.25">
      <c r="A23" s="18" t="s">
        <v>149</v>
      </c>
      <c r="B23" s="46" t="s">
        <v>150</v>
      </c>
      <c r="C23" s="62">
        <f>'Data Destinasi'!D22/'Data Destinasi'!D24</f>
        <v>1</v>
      </c>
      <c r="D23" s="62">
        <f>'Data Destinasi'!E22/'Data Destinasi'!E24</f>
        <v>1</v>
      </c>
      <c r="E23" s="62">
        <f>'Data Destinasi'!F22/'Data Destinasi'!F24</f>
        <v>0.8</v>
      </c>
      <c r="F23" s="62">
        <f>'Data Destinasi'!G22/'Data Destinasi'!G24</f>
        <v>0.8</v>
      </c>
      <c r="G23" s="62">
        <f>'Data Destinasi'!H22/'Data Destinasi'!H24</f>
        <v>0.8</v>
      </c>
      <c r="H23" s="62">
        <f>'Data Destinasi'!I22/'Data Destinasi'!I24</f>
        <v>0.8</v>
      </c>
      <c r="I23" s="63">
        <f>C23*'Data Kriteria &amp; Bobot'!E4</f>
        <v>0.25</v>
      </c>
      <c r="J23" s="63">
        <f>D23*'Data Kriteria &amp; Bobot'!E5</f>
        <v>0.2</v>
      </c>
      <c r="K23" s="63">
        <f>E23*'Data Kriteria &amp; Bobot'!E6</f>
        <v>0.12</v>
      </c>
      <c r="L23" s="63">
        <f>F23*'Data Kriteria &amp; Bobot'!E7</f>
        <v>0.16000000000000003</v>
      </c>
      <c r="M23" s="63">
        <f>G23*'Data Kriteria &amp; Bobot'!E8</f>
        <v>8.0000000000000016E-2</v>
      </c>
      <c r="N23" s="63">
        <f>H23*'Data Kriteria &amp; Bobot'!E9</f>
        <v>8.0000000000000016E-2</v>
      </c>
      <c r="O23" s="64">
        <f t="shared" si="0"/>
        <v>0.89000000000000012</v>
      </c>
      <c r="P23" s="65">
        <f t="shared" si="1"/>
        <v>6</v>
      </c>
    </row>
    <row r="24" spans="1:16" ht="24.75" customHeight="1" x14ac:dyDescent="0.25">
      <c r="A24" s="18" t="s">
        <v>152</v>
      </c>
      <c r="B24" s="24" t="s">
        <v>153</v>
      </c>
      <c r="C24" s="66">
        <f>'Data Destinasi'!D23/'Data Destinasi'!D24</f>
        <v>0.8</v>
      </c>
      <c r="D24" s="66">
        <f>'Data Destinasi'!E23/'Data Destinasi'!E24</f>
        <v>1</v>
      </c>
      <c r="E24" s="66">
        <f>'Data Destinasi'!F23/'Data Destinasi'!F24</f>
        <v>0.8</v>
      </c>
      <c r="F24" s="66">
        <f>'Data Destinasi'!G23/'Data Destinasi'!G24</f>
        <v>1</v>
      </c>
      <c r="G24" s="66">
        <f>'Data Destinasi'!H23/'Data Destinasi'!H24</f>
        <v>1</v>
      </c>
      <c r="H24" s="66">
        <f>'Data Destinasi'!I23/'Data Destinasi'!I24</f>
        <v>1</v>
      </c>
      <c r="I24" s="67">
        <f>C24*'Data Kriteria &amp; Bobot'!E4</f>
        <v>0.2</v>
      </c>
      <c r="J24" s="67">
        <f>D24*'Data Kriteria &amp; Bobot'!E5</f>
        <v>0.2</v>
      </c>
      <c r="K24" s="67">
        <f>E24*'Data Kriteria &amp; Bobot'!E6</f>
        <v>0.12</v>
      </c>
      <c r="L24" s="67">
        <f>F24*'Data Kriteria &amp; Bobot'!E7</f>
        <v>0.2</v>
      </c>
      <c r="M24" s="67">
        <f>G24*'Data Kriteria &amp; Bobot'!E8</f>
        <v>0.1</v>
      </c>
      <c r="N24" s="67">
        <f>H24*'Data Kriteria &amp; Bobot'!E9</f>
        <v>0.1</v>
      </c>
      <c r="O24" s="64">
        <f t="shared" si="0"/>
        <v>0.91999999999999993</v>
      </c>
      <c r="P24" s="65">
        <f t="shared" si="1"/>
        <v>4</v>
      </c>
    </row>
    <row r="25" spans="1:16" ht="21.75" customHeight="1" x14ac:dyDescent="0.25">
      <c r="A25" s="68"/>
      <c r="B25" s="51" t="s">
        <v>177</v>
      </c>
      <c r="C25" s="68"/>
      <c r="D25" s="68"/>
      <c r="E25" s="68"/>
      <c r="F25" s="68"/>
      <c r="G25" s="68"/>
      <c r="H25" s="68"/>
      <c r="I25" s="27">
        <f>'Data Kriteria &amp; Bobot'!E4</f>
        <v>0.25</v>
      </c>
      <c r="J25" s="27">
        <f>'Data Kriteria &amp; Bobot'!E5</f>
        <v>0.2</v>
      </c>
      <c r="K25" s="27">
        <f>'Data Kriteria &amp; Bobot'!E6</f>
        <v>0.15</v>
      </c>
      <c r="L25" s="27">
        <f>'Data Kriteria &amp; Bobot'!E7</f>
        <v>0.2</v>
      </c>
      <c r="M25" s="27">
        <f>'Data Kriteria &amp; Bobot'!E8</f>
        <v>0.1</v>
      </c>
      <c r="N25" s="27">
        <f>'Data Kriteria &amp; Bobot'!E9</f>
        <v>0.1</v>
      </c>
      <c r="O25" s="69">
        <f t="shared" si="0"/>
        <v>1</v>
      </c>
      <c r="P25" s="68"/>
    </row>
  </sheetData>
  <mergeCells count="5">
    <mergeCell ref="A1:P1"/>
    <mergeCell ref="A2:B2"/>
    <mergeCell ref="C2:H2"/>
    <mergeCell ref="I2:N2"/>
    <mergeCell ref="O2:P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5"/>
  <sheetViews>
    <sheetView zoomScaleNormal="100" workbookViewId="0"/>
  </sheetViews>
  <sheetFormatPr defaultColWidth="8.7109375" defaultRowHeight="15" x14ac:dyDescent="0.25"/>
  <cols>
    <col min="1" max="1" width="6" customWidth="1"/>
    <col min="2" max="2" width="30" customWidth="1"/>
    <col min="3" max="15" width="12" customWidth="1"/>
  </cols>
  <sheetData>
    <row r="1" spans="1:15" ht="34.5" customHeight="1" x14ac:dyDescent="0.25">
      <c r="A1" s="11" t="s">
        <v>178</v>
      </c>
      <c r="B1" s="11"/>
      <c r="C1" s="11"/>
      <c r="D1" s="11"/>
      <c r="E1" s="11"/>
      <c r="F1" s="11"/>
      <c r="G1" s="11"/>
      <c r="H1" s="11"/>
      <c r="I1" s="11"/>
      <c r="J1" s="11"/>
      <c r="K1" s="11"/>
      <c r="L1" s="11"/>
      <c r="M1" s="11"/>
      <c r="N1" s="11"/>
      <c r="O1" s="11"/>
    </row>
    <row r="2" spans="1:15" ht="30" customHeight="1" x14ac:dyDescent="0.25">
      <c r="A2" s="116" t="s">
        <v>179</v>
      </c>
      <c r="B2" s="116"/>
      <c r="C2" s="116"/>
      <c r="D2" s="116"/>
      <c r="E2" s="116"/>
      <c r="F2" s="116"/>
      <c r="G2" s="116"/>
      <c r="H2" s="116"/>
      <c r="I2" s="116"/>
      <c r="J2" s="116"/>
      <c r="K2" s="116"/>
      <c r="L2" s="116"/>
      <c r="M2" s="116"/>
      <c r="N2" s="116"/>
      <c r="O2" s="116"/>
    </row>
    <row r="4" spans="1:15" ht="21.75" customHeight="1" x14ac:dyDescent="0.25">
      <c r="A4" s="12" t="s">
        <v>180</v>
      </c>
      <c r="B4" s="12"/>
      <c r="C4" s="12"/>
      <c r="D4" s="12"/>
      <c r="E4" s="12"/>
      <c r="F4" s="12"/>
      <c r="G4" s="12"/>
      <c r="H4" s="12"/>
      <c r="I4" s="12"/>
      <c r="J4" s="12"/>
      <c r="K4" s="12"/>
      <c r="L4" s="12"/>
      <c r="M4" s="12"/>
      <c r="N4" s="12"/>
      <c r="O4" s="12"/>
    </row>
    <row r="5" spans="1:15" ht="39.75" customHeight="1" x14ac:dyDescent="0.25">
      <c r="A5" s="45" t="s">
        <v>35</v>
      </c>
      <c r="B5" s="45" t="s">
        <v>181</v>
      </c>
      <c r="C5" s="45" t="s">
        <v>182</v>
      </c>
      <c r="D5" s="45" t="s">
        <v>183</v>
      </c>
      <c r="E5" s="45" t="s">
        <v>184</v>
      </c>
      <c r="F5" s="45" t="s">
        <v>185</v>
      </c>
      <c r="G5" s="45" t="s">
        <v>186</v>
      </c>
      <c r="H5" s="45" t="s">
        <v>187</v>
      </c>
      <c r="I5" s="45" t="s">
        <v>188</v>
      </c>
      <c r="J5" s="45" t="s">
        <v>189</v>
      </c>
      <c r="K5" s="45" t="s">
        <v>190</v>
      </c>
    </row>
    <row r="6" spans="1:15" ht="21.75" customHeight="1" x14ac:dyDescent="0.25">
      <c r="A6" s="18" t="s">
        <v>40</v>
      </c>
      <c r="B6" s="20" t="s">
        <v>41</v>
      </c>
      <c r="C6" s="70">
        <f>'Data Kriteria &amp; Bobot'!E4</f>
        <v>0.25</v>
      </c>
      <c r="D6" s="71">
        <f>C6*(1+1*0.2)</f>
        <v>0.3</v>
      </c>
      <c r="E6" s="62">
        <f>C6*(1-$C$7*1*0.2)/(1-$C$7)</f>
        <v>0.3</v>
      </c>
      <c r="F6" s="62">
        <f>C6*(1-$C$8*1*0.2)/(1-$C$8)</f>
        <v>0.28529411764705881</v>
      </c>
      <c r="G6" s="62">
        <f>C6*(1-$C$9*1*0.2)/(1-$C$9)</f>
        <v>0.3</v>
      </c>
      <c r="H6" s="62">
        <f>C6*(1-$C$10*1*0.2)/(1-$C$10)</f>
        <v>0.2722222222222222</v>
      </c>
      <c r="I6" s="62">
        <f>C6*(1-$C$11*1*0.2)/(1-$C$11)</f>
        <v>0.2722222222222222</v>
      </c>
      <c r="J6" s="71">
        <f>C6*(1+-1*0.2)</f>
        <v>0.2</v>
      </c>
      <c r="K6" s="62">
        <f>C6*(1-$C$7*-1*0.2)/(1-$C$7)</f>
        <v>0.32500000000000001</v>
      </c>
    </row>
    <row r="7" spans="1:15" ht="21.75" customHeight="1" x14ac:dyDescent="0.25">
      <c r="A7" s="18" t="s">
        <v>44</v>
      </c>
      <c r="B7" s="24" t="s">
        <v>45</v>
      </c>
      <c r="C7" s="72">
        <f>'Data Kriteria &amp; Bobot'!E5</f>
        <v>0.2</v>
      </c>
      <c r="D7" s="73">
        <f>C7*(1-$C$6*1*0.2)/(1-$C$6)</f>
        <v>0.25333333333333335</v>
      </c>
      <c r="E7" s="71">
        <f>C7*(1+1*0.2)</f>
        <v>0.24</v>
      </c>
      <c r="F7" s="73">
        <f>C7*(1-$C$8*1*0.2)/(1-$C$8)</f>
        <v>0.22823529411764706</v>
      </c>
      <c r="G7" s="73">
        <f>C7*(1-$C$9*1*0.2)/(1-$C$9)</f>
        <v>0.24</v>
      </c>
      <c r="H7" s="73">
        <f>C7*(1-$C$10*1*0.2)/(1-$C$10)</f>
        <v>0.21777777777777779</v>
      </c>
      <c r="I7" s="73">
        <f>C7*(1-$C$11*1*0.2)/(1-$C$11)</f>
        <v>0.21777777777777779</v>
      </c>
      <c r="J7" s="73">
        <f>C7*(1-$C$6*-1*0.2)/(1-$C$6)</f>
        <v>0.28000000000000003</v>
      </c>
      <c r="K7" s="71">
        <f>C7*(1+-1*0.2)</f>
        <v>0.16000000000000003</v>
      </c>
    </row>
    <row r="8" spans="1:15" ht="21.75" customHeight="1" x14ac:dyDescent="0.25">
      <c r="A8" s="18" t="s">
        <v>48</v>
      </c>
      <c r="B8" s="20" t="s">
        <v>191</v>
      </c>
      <c r="C8" s="70">
        <f>'Data Kriteria &amp; Bobot'!E6</f>
        <v>0.15</v>
      </c>
      <c r="D8" s="62">
        <f>C8*(1-$C$6*1*0.2)/(1-$C$6)</f>
        <v>0.18999999999999997</v>
      </c>
      <c r="E8" s="62">
        <f>C8*(1-$C$7*1*0.2)/(1-$C$7)</f>
        <v>0.17999999999999997</v>
      </c>
      <c r="F8" s="71">
        <f>C8*(1+1*0.2)</f>
        <v>0.18</v>
      </c>
      <c r="G8" s="62">
        <f>C8*(1-$C$9*1*0.2)/(1-$C$9)</f>
        <v>0.17999999999999997</v>
      </c>
      <c r="H8" s="62">
        <f>C8*(1-$C$10*1*0.2)/(1-$C$10)</f>
        <v>0.16333333333333333</v>
      </c>
      <c r="I8" s="62">
        <f>C8*(1-$C$11*1*0.2)/(1-$C$11)</f>
        <v>0.16333333333333333</v>
      </c>
      <c r="J8" s="62">
        <f>C8*(1-$C$6*-1*0.2)/(1-$C$6)</f>
        <v>0.21</v>
      </c>
      <c r="K8" s="62">
        <f>C8*(1-$C$7*-1*0.2)/(1-$C$7)</f>
        <v>0.19499999999999998</v>
      </c>
    </row>
    <row r="9" spans="1:15" ht="21.75" customHeight="1" x14ac:dyDescent="0.25">
      <c r="A9" s="18" t="s">
        <v>52</v>
      </c>
      <c r="B9" s="24" t="s">
        <v>53</v>
      </c>
      <c r="C9" s="72">
        <f>'Data Kriteria &amp; Bobot'!E7</f>
        <v>0.2</v>
      </c>
      <c r="D9" s="73">
        <f>C9*(1-$C$6*1*0.2)/(1-$C$6)</f>
        <v>0.25333333333333335</v>
      </c>
      <c r="E9" s="73">
        <f>C9*(1-$C$7*1*0.2)/(1-$C$7)</f>
        <v>0.24</v>
      </c>
      <c r="F9" s="73">
        <f>C9*(1-$C$8*1*0.2)/(1-$C$8)</f>
        <v>0.22823529411764706</v>
      </c>
      <c r="G9" s="71">
        <f>C9*(1+1*0.2)</f>
        <v>0.24</v>
      </c>
      <c r="H9" s="73">
        <f>C9*(1-$C$10*1*0.2)/(1-$C$10)</f>
        <v>0.21777777777777779</v>
      </c>
      <c r="I9" s="73">
        <f>C9*(1-$C$11*1*0.2)/(1-$C$11)</f>
        <v>0.21777777777777779</v>
      </c>
      <c r="J9" s="73">
        <f>C9*(1-$C$6*-1*0.2)/(1-$C$6)</f>
        <v>0.28000000000000003</v>
      </c>
      <c r="K9" s="73">
        <f>C9*(1-$C$7*-1*0.2)/(1-$C$7)</f>
        <v>0.26</v>
      </c>
    </row>
    <row r="10" spans="1:15" ht="21.75" customHeight="1" x14ac:dyDescent="0.25">
      <c r="A10" s="18" t="s">
        <v>56</v>
      </c>
      <c r="B10" s="20" t="s">
        <v>192</v>
      </c>
      <c r="C10" s="70">
        <f>'Data Kriteria &amp; Bobot'!E8</f>
        <v>0.1</v>
      </c>
      <c r="D10" s="62">
        <f>C10*(1-$C$6*1*0.2)/(1-$C$6)</f>
        <v>0.12666666666666668</v>
      </c>
      <c r="E10" s="62">
        <f>C10*(1-$C$7*1*0.2)/(1-$C$7)</f>
        <v>0.12</v>
      </c>
      <c r="F10" s="62">
        <f>C10*(1-$C$8*1*0.2)/(1-$C$8)</f>
        <v>0.11411764705882353</v>
      </c>
      <c r="G10" s="62">
        <f>C10*(1-$C$9*1*0.2)/(1-$C$9)</f>
        <v>0.12</v>
      </c>
      <c r="H10" s="71">
        <f>C10*(1+1*0.2)</f>
        <v>0.12</v>
      </c>
      <c r="I10" s="62">
        <f>C10*(1-$C$11*1*0.2)/(1-$C$11)</f>
        <v>0.1088888888888889</v>
      </c>
      <c r="J10" s="62">
        <f>C10*(1-$C$6*-1*0.2)/(1-$C$6)</f>
        <v>0.14000000000000001</v>
      </c>
      <c r="K10" s="62">
        <f>C10*(1-$C$7*-1*0.2)/(1-$C$7)</f>
        <v>0.13</v>
      </c>
    </row>
    <row r="11" spans="1:15" ht="21.75" customHeight="1" x14ac:dyDescent="0.25">
      <c r="A11" s="18" t="s">
        <v>60</v>
      </c>
      <c r="B11" s="24" t="s">
        <v>193</v>
      </c>
      <c r="C11" s="72">
        <f>'Data Kriteria &amp; Bobot'!E9</f>
        <v>0.1</v>
      </c>
      <c r="D11" s="73">
        <f>C11*(1-$C$6*1*0.2)/(1-$C$6)</f>
        <v>0.12666666666666668</v>
      </c>
      <c r="E11" s="73">
        <f>C11*(1-$C$7*1*0.2)/(1-$C$7)</f>
        <v>0.12</v>
      </c>
      <c r="F11" s="73">
        <f>C11*(1-$C$8*1*0.2)/(1-$C$8)</f>
        <v>0.11411764705882353</v>
      </c>
      <c r="G11" s="73">
        <f>C11*(1-$C$9*1*0.2)/(1-$C$9)</f>
        <v>0.12</v>
      </c>
      <c r="H11" s="73">
        <f>C11*(1-$C$10*1*0.2)/(1-$C$10)</f>
        <v>0.1088888888888889</v>
      </c>
      <c r="I11" s="71">
        <f>C11*(1+1*0.2)</f>
        <v>0.12</v>
      </c>
      <c r="J11" s="73">
        <f>C11*(1-$C$6*-1*0.2)/(1-$C$6)</f>
        <v>0.14000000000000001</v>
      </c>
      <c r="K11" s="73">
        <f>C11*(1-$C$7*-1*0.2)/(1-$C$7)</f>
        <v>0.13</v>
      </c>
    </row>
    <row r="12" spans="1:15" ht="19.5" customHeight="1" x14ac:dyDescent="0.25">
      <c r="A12" s="50"/>
      <c r="B12" s="51" t="s">
        <v>194</v>
      </c>
      <c r="C12" s="74">
        <f t="shared" ref="C12:K12" si="0">SUM(C6:C11)</f>
        <v>1</v>
      </c>
      <c r="D12" s="74">
        <f t="shared" si="0"/>
        <v>1.25</v>
      </c>
      <c r="E12" s="74">
        <f t="shared" si="0"/>
        <v>1.2000000000000002</v>
      </c>
      <c r="F12" s="74">
        <f t="shared" si="0"/>
        <v>1.1499999999999999</v>
      </c>
      <c r="G12" s="74">
        <f t="shared" si="0"/>
        <v>1.2000000000000002</v>
      </c>
      <c r="H12" s="74">
        <f t="shared" si="0"/>
        <v>1.1000000000000001</v>
      </c>
      <c r="I12" s="74">
        <f t="shared" si="0"/>
        <v>1.1000000000000001</v>
      </c>
      <c r="J12" s="74">
        <f t="shared" si="0"/>
        <v>1.25</v>
      </c>
      <c r="K12" s="74">
        <f t="shared" si="0"/>
        <v>1.2000000000000002</v>
      </c>
    </row>
    <row r="14" spans="1:15" ht="21.75" customHeight="1" x14ac:dyDescent="0.25">
      <c r="A14" s="12" t="s">
        <v>195</v>
      </c>
      <c r="B14" s="12"/>
      <c r="C14" s="12"/>
      <c r="D14" s="12"/>
      <c r="E14" s="12"/>
      <c r="F14" s="12"/>
      <c r="G14" s="12"/>
      <c r="H14" s="12"/>
      <c r="I14" s="12"/>
      <c r="J14" s="12"/>
      <c r="K14" s="12"/>
      <c r="L14" s="12"/>
      <c r="M14" s="12"/>
      <c r="N14" s="12"/>
      <c r="O14" s="12"/>
    </row>
    <row r="15" spans="1:15" ht="39.75" customHeight="1" x14ac:dyDescent="0.25">
      <c r="A15" s="45" t="s">
        <v>2</v>
      </c>
      <c r="B15" s="45" t="s">
        <v>87</v>
      </c>
      <c r="C15" s="45" t="s">
        <v>196</v>
      </c>
      <c r="D15" s="45" t="s">
        <v>197</v>
      </c>
      <c r="E15" s="45" t="s">
        <v>198</v>
      </c>
      <c r="F15" s="45" t="s">
        <v>199</v>
      </c>
      <c r="G15" s="45" t="s">
        <v>200</v>
      </c>
      <c r="H15" s="45" t="s">
        <v>201</v>
      </c>
      <c r="I15" s="45" t="s">
        <v>202</v>
      </c>
      <c r="J15" s="45" t="s">
        <v>203</v>
      </c>
      <c r="K15" s="45" t="s">
        <v>204</v>
      </c>
      <c r="L15" s="45" t="s">
        <v>205</v>
      </c>
      <c r="M15" s="45" t="s">
        <v>206</v>
      </c>
      <c r="N15" s="45" t="s">
        <v>207</v>
      </c>
      <c r="O15" s="45" t="s">
        <v>208</v>
      </c>
    </row>
    <row r="16" spans="1:15" ht="21.75" customHeight="1" x14ac:dyDescent="0.25">
      <c r="A16" s="18" t="s">
        <v>95</v>
      </c>
      <c r="B16" s="46" t="s">
        <v>96</v>
      </c>
      <c r="C16" s="75">
        <f>'Perhitungan MFEP'!P5</f>
        <v>1</v>
      </c>
      <c r="D16" s="76" t="e">
        <f>SUMPRODUCT('Perhitungan MFEP'!C5:H5,TRANSPOSE(D6:D11))</f>
        <v>#VALUE!</v>
      </c>
      <c r="E16" s="76" t="e">
        <f>SUMPRODUCT('Perhitungan MFEP'!C5:H5,TRANSPOSE(E6:E11))</f>
        <v>#VALUE!</v>
      </c>
      <c r="F16" s="76" t="e">
        <f>SUMPRODUCT('Perhitungan MFEP'!C5:H5,TRANSPOSE(F6:F11))</f>
        <v>#VALUE!</v>
      </c>
      <c r="G16" s="76" t="e">
        <f>SUMPRODUCT('Perhitungan MFEP'!C5:H5,TRANSPOSE(G6:G11))</f>
        <v>#VALUE!</v>
      </c>
      <c r="H16" s="76" t="e">
        <f>SUMPRODUCT('Perhitungan MFEP'!C5:H5,TRANSPOSE(H6:H11))</f>
        <v>#VALUE!</v>
      </c>
      <c r="I16" s="76" t="e">
        <f>SUMPRODUCT('Perhitungan MFEP'!C5:H5,TRANSPOSE(I6:I11))</f>
        <v>#VALUE!</v>
      </c>
      <c r="J16" s="76" t="e">
        <f>SUMPRODUCT('Perhitungan MFEP'!C5:H5,TRANSPOSE(J6:J11))</f>
        <v>#VALUE!</v>
      </c>
      <c r="K16" s="76" t="e">
        <f>SUMPRODUCT('Perhitungan MFEP'!C5:H5,TRANSPOSE(K6:K11))</f>
        <v>#VALUE!</v>
      </c>
      <c r="L16" s="77" t="e">
        <f t="shared" ref="L16:L35" si="1">MIN(D16:K16)</f>
        <v>#VALUE!</v>
      </c>
      <c r="M16" s="78" t="e">
        <f t="shared" ref="M16:M35" si="2">MAX(D16:K16)</f>
        <v>#VALUE!</v>
      </c>
      <c r="N16" s="79" t="e">
        <f t="shared" ref="N16:N35" si="3">M16-L16</f>
        <v>#VALUE!</v>
      </c>
      <c r="O16" s="80" t="e">
        <f t="shared" ref="O16:O35" si="4">IF(N16&lt;0.05,"Stabil","Sensitif")</f>
        <v>#VALUE!</v>
      </c>
    </row>
    <row r="17" spans="1:15" ht="21.75" customHeight="1" x14ac:dyDescent="0.25">
      <c r="A17" s="18" t="s">
        <v>98</v>
      </c>
      <c r="B17" s="24" t="s">
        <v>99</v>
      </c>
      <c r="C17" s="75">
        <f>'Perhitungan MFEP'!P6</f>
        <v>2</v>
      </c>
      <c r="D17" s="81" t="e">
        <f>SUMPRODUCT('Perhitungan MFEP'!C6:H6,TRANSPOSE(D6:D11))</f>
        <v>#VALUE!</v>
      </c>
      <c r="E17" s="81" t="e">
        <f>SUMPRODUCT('Perhitungan MFEP'!C6:H6,TRANSPOSE(E6:E11))</f>
        <v>#VALUE!</v>
      </c>
      <c r="F17" s="81" t="e">
        <f>SUMPRODUCT('Perhitungan MFEP'!C6:H6,TRANSPOSE(F6:F11))</f>
        <v>#VALUE!</v>
      </c>
      <c r="G17" s="81" t="e">
        <f>SUMPRODUCT('Perhitungan MFEP'!C6:H6,TRANSPOSE(G6:G11))</f>
        <v>#VALUE!</v>
      </c>
      <c r="H17" s="81" t="e">
        <f>SUMPRODUCT('Perhitungan MFEP'!C6:H6,TRANSPOSE(H6:H11))</f>
        <v>#VALUE!</v>
      </c>
      <c r="I17" s="81" t="e">
        <f>SUMPRODUCT('Perhitungan MFEP'!C6:H6,TRANSPOSE(I6:I11))</f>
        <v>#VALUE!</v>
      </c>
      <c r="J17" s="81" t="e">
        <f>SUMPRODUCT('Perhitungan MFEP'!C6:H6,TRANSPOSE(J6:J11))</f>
        <v>#VALUE!</v>
      </c>
      <c r="K17" s="81" t="e">
        <f>SUMPRODUCT('Perhitungan MFEP'!C6:H6,TRANSPOSE(K6:K11))</f>
        <v>#VALUE!</v>
      </c>
      <c r="L17" s="77" t="e">
        <f t="shared" si="1"/>
        <v>#VALUE!</v>
      </c>
      <c r="M17" s="78" t="e">
        <f t="shared" si="2"/>
        <v>#VALUE!</v>
      </c>
      <c r="N17" s="79" t="e">
        <f t="shared" si="3"/>
        <v>#VALUE!</v>
      </c>
      <c r="O17" s="82" t="e">
        <f t="shared" si="4"/>
        <v>#VALUE!</v>
      </c>
    </row>
    <row r="18" spans="1:15" ht="21.75" customHeight="1" x14ac:dyDescent="0.25">
      <c r="A18" s="18" t="s">
        <v>101</v>
      </c>
      <c r="B18" s="46" t="s">
        <v>102</v>
      </c>
      <c r="C18" s="75">
        <f>'Perhitungan MFEP'!P7</f>
        <v>6</v>
      </c>
      <c r="D18" s="76" t="e">
        <f>SUMPRODUCT('Perhitungan MFEP'!C7:H7,TRANSPOSE(D6:D11))</f>
        <v>#VALUE!</v>
      </c>
      <c r="E18" s="76" t="e">
        <f>SUMPRODUCT('Perhitungan MFEP'!C7:H7,TRANSPOSE(E6:E11))</f>
        <v>#VALUE!</v>
      </c>
      <c r="F18" s="76" t="e">
        <f>SUMPRODUCT('Perhitungan MFEP'!C7:H7,TRANSPOSE(F6:F11))</f>
        <v>#VALUE!</v>
      </c>
      <c r="G18" s="76" t="e">
        <f>SUMPRODUCT('Perhitungan MFEP'!C7:H7,TRANSPOSE(G6:G11))</f>
        <v>#VALUE!</v>
      </c>
      <c r="H18" s="76" t="e">
        <f>SUMPRODUCT('Perhitungan MFEP'!C7:H7,TRANSPOSE(H6:H11))</f>
        <v>#VALUE!</v>
      </c>
      <c r="I18" s="76" t="e">
        <f>SUMPRODUCT('Perhitungan MFEP'!C7:H7,TRANSPOSE(I6:I11))</f>
        <v>#VALUE!</v>
      </c>
      <c r="J18" s="76" t="e">
        <f>SUMPRODUCT('Perhitungan MFEP'!C7:H7,TRANSPOSE(J6:J11))</f>
        <v>#VALUE!</v>
      </c>
      <c r="K18" s="76" t="e">
        <f>SUMPRODUCT('Perhitungan MFEP'!C7:H7,TRANSPOSE(K6:K11))</f>
        <v>#VALUE!</v>
      </c>
      <c r="L18" s="77" t="e">
        <f t="shared" si="1"/>
        <v>#VALUE!</v>
      </c>
      <c r="M18" s="78" t="e">
        <f t="shared" si="2"/>
        <v>#VALUE!</v>
      </c>
      <c r="N18" s="79" t="e">
        <f t="shared" si="3"/>
        <v>#VALUE!</v>
      </c>
      <c r="O18" s="80" t="e">
        <f t="shared" si="4"/>
        <v>#VALUE!</v>
      </c>
    </row>
    <row r="19" spans="1:15" ht="21.75" customHeight="1" x14ac:dyDescent="0.25">
      <c r="A19" s="18" t="s">
        <v>104</v>
      </c>
      <c r="B19" s="24" t="s">
        <v>105</v>
      </c>
      <c r="C19" s="75">
        <f>'Perhitungan MFEP'!P8</f>
        <v>12</v>
      </c>
      <c r="D19" s="81" t="e">
        <f>SUMPRODUCT('Perhitungan MFEP'!C8:H8,TRANSPOSE(D6:D11))</f>
        <v>#VALUE!</v>
      </c>
      <c r="E19" s="81" t="e">
        <f>SUMPRODUCT('Perhitungan MFEP'!C8:H8,TRANSPOSE(E6:E11))</f>
        <v>#VALUE!</v>
      </c>
      <c r="F19" s="81" t="e">
        <f>SUMPRODUCT('Perhitungan MFEP'!C8:H8,TRANSPOSE(F6:F11))</f>
        <v>#VALUE!</v>
      </c>
      <c r="G19" s="81" t="e">
        <f>SUMPRODUCT('Perhitungan MFEP'!C8:H8,TRANSPOSE(G6:G11))</f>
        <v>#VALUE!</v>
      </c>
      <c r="H19" s="81" t="e">
        <f>SUMPRODUCT('Perhitungan MFEP'!C8:H8,TRANSPOSE(H6:H11))</f>
        <v>#VALUE!</v>
      </c>
      <c r="I19" s="81" t="e">
        <f>SUMPRODUCT('Perhitungan MFEP'!C8:H8,TRANSPOSE(I6:I11))</f>
        <v>#VALUE!</v>
      </c>
      <c r="J19" s="81" t="e">
        <f>SUMPRODUCT('Perhitungan MFEP'!C8:H8,TRANSPOSE(J6:J11))</f>
        <v>#VALUE!</v>
      </c>
      <c r="K19" s="81" t="e">
        <f>SUMPRODUCT('Perhitungan MFEP'!C8:H8,TRANSPOSE(K6:K11))</f>
        <v>#VALUE!</v>
      </c>
      <c r="L19" s="77" t="e">
        <f t="shared" si="1"/>
        <v>#VALUE!</v>
      </c>
      <c r="M19" s="78" t="e">
        <f t="shared" si="2"/>
        <v>#VALUE!</v>
      </c>
      <c r="N19" s="79" t="e">
        <f t="shared" si="3"/>
        <v>#VALUE!</v>
      </c>
      <c r="O19" s="82" t="e">
        <f t="shared" si="4"/>
        <v>#VALUE!</v>
      </c>
    </row>
    <row r="20" spans="1:15" ht="21.75" customHeight="1" x14ac:dyDescent="0.25">
      <c r="A20" s="18" t="s">
        <v>107</v>
      </c>
      <c r="B20" s="46" t="s">
        <v>108</v>
      </c>
      <c r="C20" s="75">
        <f>'Perhitungan MFEP'!P9</f>
        <v>14</v>
      </c>
      <c r="D20" s="76" t="e">
        <f>SUMPRODUCT('Perhitungan MFEP'!C9:H9,TRANSPOSE(D6:D11))</f>
        <v>#VALUE!</v>
      </c>
      <c r="E20" s="76" t="e">
        <f>SUMPRODUCT('Perhitungan MFEP'!C9:H9,TRANSPOSE(E6:E11))</f>
        <v>#VALUE!</v>
      </c>
      <c r="F20" s="76" t="e">
        <f>SUMPRODUCT('Perhitungan MFEP'!C9:H9,TRANSPOSE(F6:F11))</f>
        <v>#VALUE!</v>
      </c>
      <c r="G20" s="76" t="e">
        <f>SUMPRODUCT('Perhitungan MFEP'!C9:H9,TRANSPOSE(G6:G11))</f>
        <v>#VALUE!</v>
      </c>
      <c r="H20" s="76" t="e">
        <f>SUMPRODUCT('Perhitungan MFEP'!C9:H9,TRANSPOSE(H6:H11))</f>
        <v>#VALUE!</v>
      </c>
      <c r="I20" s="76" t="e">
        <f>SUMPRODUCT('Perhitungan MFEP'!C9:H9,TRANSPOSE(I6:I11))</f>
        <v>#VALUE!</v>
      </c>
      <c r="J20" s="76" t="e">
        <f>SUMPRODUCT('Perhitungan MFEP'!C9:H9,TRANSPOSE(J6:J11))</f>
        <v>#VALUE!</v>
      </c>
      <c r="K20" s="76" t="e">
        <f>SUMPRODUCT('Perhitungan MFEP'!C9:H9,TRANSPOSE(K6:K11))</f>
        <v>#VALUE!</v>
      </c>
      <c r="L20" s="77" t="e">
        <f t="shared" si="1"/>
        <v>#VALUE!</v>
      </c>
      <c r="M20" s="78" t="e">
        <f t="shared" si="2"/>
        <v>#VALUE!</v>
      </c>
      <c r="N20" s="79" t="e">
        <f t="shared" si="3"/>
        <v>#VALUE!</v>
      </c>
      <c r="O20" s="80" t="e">
        <f t="shared" si="4"/>
        <v>#VALUE!</v>
      </c>
    </row>
    <row r="21" spans="1:15" ht="21.75" customHeight="1" x14ac:dyDescent="0.25">
      <c r="A21" s="18" t="s">
        <v>110</v>
      </c>
      <c r="B21" s="24" t="s">
        <v>111</v>
      </c>
      <c r="C21" s="75">
        <f>'Perhitungan MFEP'!P10</f>
        <v>5</v>
      </c>
      <c r="D21" s="81" t="e">
        <f>SUMPRODUCT('Perhitungan MFEP'!C10:H10,TRANSPOSE(D6:D11))</f>
        <v>#VALUE!</v>
      </c>
      <c r="E21" s="81" t="e">
        <f>SUMPRODUCT('Perhitungan MFEP'!C10:H10,TRANSPOSE(E6:E11))</f>
        <v>#VALUE!</v>
      </c>
      <c r="F21" s="81" t="e">
        <f>SUMPRODUCT('Perhitungan MFEP'!C10:H10,TRANSPOSE(F6:F11))</f>
        <v>#VALUE!</v>
      </c>
      <c r="G21" s="81" t="e">
        <f>SUMPRODUCT('Perhitungan MFEP'!C10:H10,TRANSPOSE(G6:G11))</f>
        <v>#VALUE!</v>
      </c>
      <c r="H21" s="81" t="e">
        <f>SUMPRODUCT('Perhitungan MFEP'!C10:H10,TRANSPOSE(H6:H11))</f>
        <v>#VALUE!</v>
      </c>
      <c r="I21" s="81" t="e">
        <f>SUMPRODUCT('Perhitungan MFEP'!C10:H10,TRANSPOSE(I6:I11))</f>
        <v>#VALUE!</v>
      </c>
      <c r="J21" s="81" t="e">
        <f>SUMPRODUCT('Perhitungan MFEP'!C10:H10,TRANSPOSE(J6:J11))</f>
        <v>#VALUE!</v>
      </c>
      <c r="K21" s="81" t="e">
        <f>SUMPRODUCT('Perhitungan MFEP'!C10:H10,TRANSPOSE(K6:K11))</f>
        <v>#VALUE!</v>
      </c>
      <c r="L21" s="77" t="e">
        <f t="shared" si="1"/>
        <v>#VALUE!</v>
      </c>
      <c r="M21" s="78" t="e">
        <f t="shared" si="2"/>
        <v>#VALUE!</v>
      </c>
      <c r="N21" s="79" t="e">
        <f t="shared" si="3"/>
        <v>#VALUE!</v>
      </c>
      <c r="O21" s="82" t="e">
        <f t="shared" si="4"/>
        <v>#VALUE!</v>
      </c>
    </row>
    <row r="22" spans="1:15" ht="21.75" customHeight="1" x14ac:dyDescent="0.25">
      <c r="A22" s="18" t="s">
        <v>113</v>
      </c>
      <c r="B22" s="46" t="s">
        <v>114</v>
      </c>
      <c r="C22" s="75">
        <f>'Perhitungan MFEP'!P11</f>
        <v>17</v>
      </c>
      <c r="D22" s="76" t="e">
        <f>SUMPRODUCT('Perhitungan MFEP'!C11:H11,TRANSPOSE(D6:D11))</f>
        <v>#VALUE!</v>
      </c>
      <c r="E22" s="76" t="e">
        <f>SUMPRODUCT('Perhitungan MFEP'!C11:H11,TRANSPOSE(E6:E11))</f>
        <v>#VALUE!</v>
      </c>
      <c r="F22" s="76" t="e">
        <f>SUMPRODUCT('Perhitungan MFEP'!C11:H11,TRANSPOSE(F6:F11))</f>
        <v>#VALUE!</v>
      </c>
      <c r="G22" s="76" t="e">
        <f>SUMPRODUCT('Perhitungan MFEP'!C11:H11,TRANSPOSE(G6:G11))</f>
        <v>#VALUE!</v>
      </c>
      <c r="H22" s="76" t="e">
        <f>SUMPRODUCT('Perhitungan MFEP'!C11:H11,TRANSPOSE(H6:H11))</f>
        <v>#VALUE!</v>
      </c>
      <c r="I22" s="76" t="e">
        <f>SUMPRODUCT('Perhitungan MFEP'!C11:H11,TRANSPOSE(I6:I11))</f>
        <v>#VALUE!</v>
      </c>
      <c r="J22" s="76" t="e">
        <f>SUMPRODUCT('Perhitungan MFEP'!C11:H11,TRANSPOSE(J6:J11))</f>
        <v>#VALUE!</v>
      </c>
      <c r="K22" s="76" t="e">
        <f>SUMPRODUCT('Perhitungan MFEP'!C11:H11,TRANSPOSE(K6:K11))</f>
        <v>#VALUE!</v>
      </c>
      <c r="L22" s="77" t="e">
        <f t="shared" si="1"/>
        <v>#VALUE!</v>
      </c>
      <c r="M22" s="78" t="e">
        <f t="shared" si="2"/>
        <v>#VALUE!</v>
      </c>
      <c r="N22" s="79" t="e">
        <f t="shared" si="3"/>
        <v>#VALUE!</v>
      </c>
      <c r="O22" s="80" t="e">
        <f t="shared" si="4"/>
        <v>#VALUE!</v>
      </c>
    </row>
    <row r="23" spans="1:15" ht="21.75" customHeight="1" x14ac:dyDescent="0.25">
      <c r="A23" s="18" t="s">
        <v>116</v>
      </c>
      <c r="B23" s="24" t="s">
        <v>117</v>
      </c>
      <c r="C23" s="75">
        <f>'Perhitungan MFEP'!P12</f>
        <v>6</v>
      </c>
      <c r="D23" s="81" t="e">
        <f>SUMPRODUCT('Perhitungan MFEP'!C12:H12,TRANSPOSE(D6:D11))</f>
        <v>#VALUE!</v>
      </c>
      <c r="E23" s="81" t="e">
        <f>SUMPRODUCT('Perhitungan MFEP'!C12:H12,TRANSPOSE(E6:E11))</f>
        <v>#VALUE!</v>
      </c>
      <c r="F23" s="81" t="e">
        <f>SUMPRODUCT('Perhitungan MFEP'!C12:H12,TRANSPOSE(F6:F11))</f>
        <v>#VALUE!</v>
      </c>
      <c r="G23" s="81" t="e">
        <f>SUMPRODUCT('Perhitungan MFEP'!C12:H12,TRANSPOSE(G6:G11))</f>
        <v>#VALUE!</v>
      </c>
      <c r="H23" s="81" t="e">
        <f>SUMPRODUCT('Perhitungan MFEP'!C12:H12,TRANSPOSE(H6:H11))</f>
        <v>#VALUE!</v>
      </c>
      <c r="I23" s="81" t="e">
        <f>SUMPRODUCT('Perhitungan MFEP'!C12:H12,TRANSPOSE(I6:I11))</f>
        <v>#VALUE!</v>
      </c>
      <c r="J23" s="81" t="e">
        <f>SUMPRODUCT('Perhitungan MFEP'!C12:H12,TRANSPOSE(J6:J11))</f>
        <v>#VALUE!</v>
      </c>
      <c r="K23" s="81" t="e">
        <f>SUMPRODUCT('Perhitungan MFEP'!C12:H12,TRANSPOSE(K6:K11))</f>
        <v>#VALUE!</v>
      </c>
      <c r="L23" s="77" t="e">
        <f t="shared" si="1"/>
        <v>#VALUE!</v>
      </c>
      <c r="M23" s="78" t="e">
        <f t="shared" si="2"/>
        <v>#VALUE!</v>
      </c>
      <c r="N23" s="79" t="e">
        <f t="shared" si="3"/>
        <v>#VALUE!</v>
      </c>
      <c r="O23" s="82" t="e">
        <f t="shared" si="4"/>
        <v>#VALUE!</v>
      </c>
    </row>
    <row r="24" spans="1:15" ht="21.75" customHeight="1" x14ac:dyDescent="0.25">
      <c r="A24" s="18" t="s">
        <v>119</v>
      </c>
      <c r="B24" s="46" t="s">
        <v>120</v>
      </c>
      <c r="C24" s="75">
        <f>'Perhitungan MFEP'!P13</f>
        <v>20</v>
      </c>
      <c r="D24" s="76" t="e">
        <f>SUMPRODUCT('Perhitungan MFEP'!C13:H13,TRANSPOSE(D6:D11))</f>
        <v>#VALUE!</v>
      </c>
      <c r="E24" s="76" t="e">
        <f>SUMPRODUCT('Perhitungan MFEP'!C13:H13,TRANSPOSE(E6:E11))</f>
        <v>#VALUE!</v>
      </c>
      <c r="F24" s="76" t="e">
        <f>SUMPRODUCT('Perhitungan MFEP'!C13:H13,TRANSPOSE(F6:F11))</f>
        <v>#VALUE!</v>
      </c>
      <c r="G24" s="76" t="e">
        <f>SUMPRODUCT('Perhitungan MFEP'!C13:H13,TRANSPOSE(G6:G11))</f>
        <v>#VALUE!</v>
      </c>
      <c r="H24" s="76" t="e">
        <f>SUMPRODUCT('Perhitungan MFEP'!C13:H13,TRANSPOSE(H6:H11))</f>
        <v>#VALUE!</v>
      </c>
      <c r="I24" s="76" t="e">
        <f>SUMPRODUCT('Perhitungan MFEP'!C13:H13,TRANSPOSE(I6:I11))</f>
        <v>#VALUE!</v>
      </c>
      <c r="J24" s="76" t="e">
        <f>SUMPRODUCT('Perhitungan MFEP'!C13:H13,TRANSPOSE(J6:J11))</f>
        <v>#VALUE!</v>
      </c>
      <c r="K24" s="76" t="e">
        <f>SUMPRODUCT('Perhitungan MFEP'!C13:H13,TRANSPOSE(K6:K11))</f>
        <v>#VALUE!</v>
      </c>
      <c r="L24" s="77" t="e">
        <f t="shared" si="1"/>
        <v>#VALUE!</v>
      </c>
      <c r="M24" s="78" t="e">
        <f t="shared" si="2"/>
        <v>#VALUE!</v>
      </c>
      <c r="N24" s="79" t="e">
        <f t="shared" si="3"/>
        <v>#VALUE!</v>
      </c>
      <c r="O24" s="80" t="e">
        <f t="shared" si="4"/>
        <v>#VALUE!</v>
      </c>
    </row>
    <row r="25" spans="1:15" ht="21.75" customHeight="1" x14ac:dyDescent="0.25">
      <c r="A25" s="18" t="s">
        <v>122</v>
      </c>
      <c r="B25" s="24" t="s">
        <v>123</v>
      </c>
      <c r="C25" s="75">
        <f>'Perhitungan MFEP'!P14</f>
        <v>12</v>
      </c>
      <c r="D25" s="81" t="e">
        <f>SUMPRODUCT('Perhitungan MFEP'!C14:H14,TRANSPOSE(D6:D11))</f>
        <v>#VALUE!</v>
      </c>
      <c r="E25" s="81" t="e">
        <f>SUMPRODUCT('Perhitungan MFEP'!C14:H14,TRANSPOSE(E6:E11))</f>
        <v>#VALUE!</v>
      </c>
      <c r="F25" s="81" t="e">
        <f>SUMPRODUCT('Perhitungan MFEP'!C14:H14,TRANSPOSE(F6:F11))</f>
        <v>#VALUE!</v>
      </c>
      <c r="G25" s="81" t="e">
        <f>SUMPRODUCT('Perhitungan MFEP'!C14:H14,TRANSPOSE(G6:G11))</f>
        <v>#VALUE!</v>
      </c>
      <c r="H25" s="81" t="e">
        <f>SUMPRODUCT('Perhitungan MFEP'!C14:H14,TRANSPOSE(H6:H11))</f>
        <v>#VALUE!</v>
      </c>
      <c r="I25" s="81" t="e">
        <f>SUMPRODUCT('Perhitungan MFEP'!C14:H14,TRANSPOSE(I6:I11))</f>
        <v>#VALUE!</v>
      </c>
      <c r="J25" s="81" t="e">
        <f>SUMPRODUCT('Perhitungan MFEP'!C14:H14,TRANSPOSE(J6:J11))</f>
        <v>#VALUE!</v>
      </c>
      <c r="K25" s="81" t="e">
        <f>SUMPRODUCT('Perhitungan MFEP'!C14:H14,TRANSPOSE(K6:K11))</f>
        <v>#VALUE!</v>
      </c>
      <c r="L25" s="77" t="e">
        <f t="shared" si="1"/>
        <v>#VALUE!</v>
      </c>
      <c r="M25" s="78" t="e">
        <f t="shared" si="2"/>
        <v>#VALUE!</v>
      </c>
      <c r="N25" s="79" t="e">
        <f t="shared" si="3"/>
        <v>#VALUE!</v>
      </c>
      <c r="O25" s="82" t="e">
        <f t="shared" si="4"/>
        <v>#VALUE!</v>
      </c>
    </row>
    <row r="26" spans="1:15" ht="21.75" customHeight="1" x14ac:dyDescent="0.25">
      <c r="A26" s="18" t="s">
        <v>125</v>
      </c>
      <c r="B26" s="46" t="s">
        <v>126</v>
      </c>
      <c r="C26" s="75">
        <f>'Perhitungan MFEP'!P15</f>
        <v>2</v>
      </c>
      <c r="D26" s="76" t="e">
        <f>SUMPRODUCT('Perhitungan MFEP'!C15:H15,TRANSPOSE(D6:D11))</f>
        <v>#VALUE!</v>
      </c>
      <c r="E26" s="76" t="e">
        <f>SUMPRODUCT('Perhitungan MFEP'!C15:H15,TRANSPOSE(E6:E11))</f>
        <v>#VALUE!</v>
      </c>
      <c r="F26" s="76" t="e">
        <f>SUMPRODUCT('Perhitungan MFEP'!C15:H15,TRANSPOSE(F6:F11))</f>
        <v>#VALUE!</v>
      </c>
      <c r="G26" s="76" t="e">
        <f>SUMPRODUCT('Perhitungan MFEP'!C15:H15,TRANSPOSE(G6:G11))</f>
        <v>#VALUE!</v>
      </c>
      <c r="H26" s="76" t="e">
        <f>SUMPRODUCT('Perhitungan MFEP'!C15:H15,TRANSPOSE(H6:H11))</f>
        <v>#VALUE!</v>
      </c>
      <c r="I26" s="76" t="e">
        <f>SUMPRODUCT('Perhitungan MFEP'!C15:H15,TRANSPOSE(I6:I11))</f>
        <v>#VALUE!</v>
      </c>
      <c r="J26" s="76" t="e">
        <f>SUMPRODUCT('Perhitungan MFEP'!C15:H15,TRANSPOSE(J6:J11))</f>
        <v>#VALUE!</v>
      </c>
      <c r="K26" s="76" t="e">
        <f>SUMPRODUCT('Perhitungan MFEP'!C15:H15,TRANSPOSE(K6:K11))</f>
        <v>#VALUE!</v>
      </c>
      <c r="L26" s="77" t="e">
        <f t="shared" si="1"/>
        <v>#VALUE!</v>
      </c>
      <c r="M26" s="78" t="e">
        <f t="shared" si="2"/>
        <v>#VALUE!</v>
      </c>
      <c r="N26" s="79" t="e">
        <f t="shared" si="3"/>
        <v>#VALUE!</v>
      </c>
      <c r="O26" s="80" t="e">
        <f t="shared" si="4"/>
        <v>#VALUE!</v>
      </c>
    </row>
    <row r="27" spans="1:15" ht="21.75" customHeight="1" x14ac:dyDescent="0.25">
      <c r="A27" s="18" t="s">
        <v>128</v>
      </c>
      <c r="B27" s="24" t="s">
        <v>129</v>
      </c>
      <c r="C27" s="75">
        <f>'Perhitungan MFEP'!P16</f>
        <v>14</v>
      </c>
      <c r="D27" s="81" t="e">
        <f>SUMPRODUCT('Perhitungan MFEP'!C16:H16,TRANSPOSE(D6:D11))</f>
        <v>#VALUE!</v>
      </c>
      <c r="E27" s="81" t="e">
        <f>SUMPRODUCT('Perhitungan MFEP'!C16:H16,TRANSPOSE(E6:E11))</f>
        <v>#VALUE!</v>
      </c>
      <c r="F27" s="81" t="e">
        <f>SUMPRODUCT('Perhitungan MFEP'!C16:H16,TRANSPOSE(F6:F11))</f>
        <v>#VALUE!</v>
      </c>
      <c r="G27" s="81" t="e">
        <f>SUMPRODUCT('Perhitungan MFEP'!C16:H16,TRANSPOSE(G6:G11))</f>
        <v>#VALUE!</v>
      </c>
      <c r="H27" s="81" t="e">
        <f>SUMPRODUCT('Perhitungan MFEP'!C16:H16,TRANSPOSE(H6:H11))</f>
        <v>#VALUE!</v>
      </c>
      <c r="I27" s="81" t="e">
        <f>SUMPRODUCT('Perhitungan MFEP'!C16:H16,TRANSPOSE(I6:I11))</f>
        <v>#VALUE!</v>
      </c>
      <c r="J27" s="81" t="e">
        <f>SUMPRODUCT('Perhitungan MFEP'!C16:H16,TRANSPOSE(J6:J11))</f>
        <v>#VALUE!</v>
      </c>
      <c r="K27" s="81" t="e">
        <f>SUMPRODUCT('Perhitungan MFEP'!C16:H16,TRANSPOSE(K6:K11))</f>
        <v>#VALUE!</v>
      </c>
      <c r="L27" s="77" t="e">
        <f t="shared" si="1"/>
        <v>#VALUE!</v>
      </c>
      <c r="M27" s="78" t="e">
        <f t="shared" si="2"/>
        <v>#VALUE!</v>
      </c>
      <c r="N27" s="79" t="e">
        <f t="shared" si="3"/>
        <v>#VALUE!</v>
      </c>
      <c r="O27" s="82" t="e">
        <f t="shared" si="4"/>
        <v>#VALUE!</v>
      </c>
    </row>
    <row r="28" spans="1:15" ht="21.75" customHeight="1" x14ac:dyDescent="0.25">
      <c r="A28" s="18" t="s">
        <v>131</v>
      </c>
      <c r="B28" s="46" t="s">
        <v>132</v>
      </c>
      <c r="C28" s="75">
        <f>'Perhitungan MFEP'!P17</f>
        <v>17</v>
      </c>
      <c r="D28" s="76" t="e">
        <f>SUMPRODUCT('Perhitungan MFEP'!C17:H17,TRANSPOSE(D6:D11))</f>
        <v>#VALUE!</v>
      </c>
      <c r="E28" s="76" t="e">
        <f>SUMPRODUCT('Perhitungan MFEP'!C17:H17,TRANSPOSE(E6:E11))</f>
        <v>#VALUE!</v>
      </c>
      <c r="F28" s="76" t="e">
        <f>SUMPRODUCT('Perhitungan MFEP'!C17:H17,TRANSPOSE(F6:F11))</f>
        <v>#VALUE!</v>
      </c>
      <c r="G28" s="76" t="e">
        <f>SUMPRODUCT('Perhitungan MFEP'!C17:H17,TRANSPOSE(G6:G11))</f>
        <v>#VALUE!</v>
      </c>
      <c r="H28" s="76" t="e">
        <f>SUMPRODUCT('Perhitungan MFEP'!C17:H17,TRANSPOSE(H6:H11))</f>
        <v>#VALUE!</v>
      </c>
      <c r="I28" s="76" t="e">
        <f>SUMPRODUCT('Perhitungan MFEP'!C17:H17,TRANSPOSE(I6:I11))</f>
        <v>#VALUE!</v>
      </c>
      <c r="J28" s="76" t="e">
        <f>SUMPRODUCT('Perhitungan MFEP'!C17:H17,TRANSPOSE(J6:J11))</f>
        <v>#VALUE!</v>
      </c>
      <c r="K28" s="76" t="e">
        <f>SUMPRODUCT('Perhitungan MFEP'!C17:H17,TRANSPOSE(K6:K11))</f>
        <v>#VALUE!</v>
      </c>
      <c r="L28" s="77" t="e">
        <f t="shared" si="1"/>
        <v>#VALUE!</v>
      </c>
      <c r="M28" s="78" t="e">
        <f t="shared" si="2"/>
        <v>#VALUE!</v>
      </c>
      <c r="N28" s="79" t="e">
        <f t="shared" si="3"/>
        <v>#VALUE!</v>
      </c>
      <c r="O28" s="80" t="e">
        <f t="shared" si="4"/>
        <v>#VALUE!</v>
      </c>
    </row>
    <row r="29" spans="1:15" ht="21.75" customHeight="1" x14ac:dyDescent="0.25">
      <c r="A29" s="18" t="s">
        <v>134</v>
      </c>
      <c r="B29" s="24" t="s">
        <v>135</v>
      </c>
      <c r="C29" s="75">
        <f>'Perhitungan MFEP'!P18</f>
        <v>16</v>
      </c>
      <c r="D29" s="81" t="e">
        <f>SUMPRODUCT('Perhitungan MFEP'!C18:H18,TRANSPOSE(D6:D11))</f>
        <v>#VALUE!</v>
      </c>
      <c r="E29" s="81" t="e">
        <f>SUMPRODUCT('Perhitungan MFEP'!C18:H18,TRANSPOSE(E6:E11))</f>
        <v>#VALUE!</v>
      </c>
      <c r="F29" s="81" t="e">
        <f>SUMPRODUCT('Perhitungan MFEP'!C18:H18,TRANSPOSE(F6:F11))</f>
        <v>#VALUE!</v>
      </c>
      <c r="G29" s="81" t="e">
        <f>SUMPRODUCT('Perhitungan MFEP'!C18:H18,TRANSPOSE(G6:G11))</f>
        <v>#VALUE!</v>
      </c>
      <c r="H29" s="81" t="e">
        <f>SUMPRODUCT('Perhitungan MFEP'!C18:H18,TRANSPOSE(H6:H11))</f>
        <v>#VALUE!</v>
      </c>
      <c r="I29" s="81" t="e">
        <f>SUMPRODUCT('Perhitungan MFEP'!C18:H18,TRANSPOSE(I6:I11))</f>
        <v>#VALUE!</v>
      </c>
      <c r="J29" s="81" t="e">
        <f>SUMPRODUCT('Perhitungan MFEP'!C18:H18,TRANSPOSE(J6:J11))</f>
        <v>#VALUE!</v>
      </c>
      <c r="K29" s="81" t="e">
        <f>SUMPRODUCT('Perhitungan MFEP'!C18:H18,TRANSPOSE(K6:K11))</f>
        <v>#VALUE!</v>
      </c>
      <c r="L29" s="77" t="e">
        <f t="shared" si="1"/>
        <v>#VALUE!</v>
      </c>
      <c r="M29" s="78" t="e">
        <f t="shared" si="2"/>
        <v>#VALUE!</v>
      </c>
      <c r="N29" s="79" t="e">
        <f t="shared" si="3"/>
        <v>#VALUE!</v>
      </c>
      <c r="O29" s="82" t="e">
        <f t="shared" si="4"/>
        <v>#VALUE!</v>
      </c>
    </row>
    <row r="30" spans="1:15" ht="21.75" customHeight="1" x14ac:dyDescent="0.25">
      <c r="A30" s="18" t="s">
        <v>137</v>
      </c>
      <c r="B30" s="46" t="s">
        <v>138</v>
      </c>
      <c r="C30" s="75">
        <f>'Perhitungan MFEP'!P19</f>
        <v>11</v>
      </c>
      <c r="D30" s="76" t="e">
        <f>SUMPRODUCT('Perhitungan MFEP'!C19:H19,TRANSPOSE(D6:D11))</f>
        <v>#VALUE!</v>
      </c>
      <c r="E30" s="76" t="e">
        <f>SUMPRODUCT('Perhitungan MFEP'!C19:H19,TRANSPOSE(E6:E11))</f>
        <v>#VALUE!</v>
      </c>
      <c r="F30" s="76" t="e">
        <f>SUMPRODUCT('Perhitungan MFEP'!C19:H19,TRANSPOSE(F6:F11))</f>
        <v>#VALUE!</v>
      </c>
      <c r="G30" s="76" t="e">
        <f>SUMPRODUCT('Perhitungan MFEP'!C19:H19,TRANSPOSE(G6:G11))</f>
        <v>#VALUE!</v>
      </c>
      <c r="H30" s="76" t="e">
        <f>SUMPRODUCT('Perhitungan MFEP'!C19:H19,TRANSPOSE(H6:H11))</f>
        <v>#VALUE!</v>
      </c>
      <c r="I30" s="76" t="e">
        <f>SUMPRODUCT('Perhitungan MFEP'!C19:H19,TRANSPOSE(I6:I11))</f>
        <v>#VALUE!</v>
      </c>
      <c r="J30" s="76" t="e">
        <f>SUMPRODUCT('Perhitungan MFEP'!C19:H19,TRANSPOSE(J6:J11))</f>
        <v>#VALUE!</v>
      </c>
      <c r="K30" s="76" t="e">
        <f>SUMPRODUCT('Perhitungan MFEP'!C19:H19,TRANSPOSE(K6:K11))</f>
        <v>#VALUE!</v>
      </c>
      <c r="L30" s="77" t="e">
        <f t="shared" si="1"/>
        <v>#VALUE!</v>
      </c>
      <c r="M30" s="78" t="e">
        <f t="shared" si="2"/>
        <v>#VALUE!</v>
      </c>
      <c r="N30" s="79" t="e">
        <f t="shared" si="3"/>
        <v>#VALUE!</v>
      </c>
      <c r="O30" s="80" t="e">
        <f t="shared" si="4"/>
        <v>#VALUE!</v>
      </c>
    </row>
    <row r="31" spans="1:15" ht="21.75" customHeight="1" x14ac:dyDescent="0.25">
      <c r="A31" s="18" t="s">
        <v>140</v>
      </c>
      <c r="B31" s="24" t="s">
        <v>141</v>
      </c>
      <c r="C31" s="75">
        <f>'Perhitungan MFEP'!P20</f>
        <v>9</v>
      </c>
      <c r="D31" s="81" t="e">
        <f>SUMPRODUCT('Perhitungan MFEP'!C20:H20,TRANSPOSE(D6:D11))</f>
        <v>#VALUE!</v>
      </c>
      <c r="E31" s="81" t="e">
        <f>SUMPRODUCT('Perhitungan MFEP'!C20:H20,TRANSPOSE(E6:E11))</f>
        <v>#VALUE!</v>
      </c>
      <c r="F31" s="81" t="e">
        <f>SUMPRODUCT('Perhitungan MFEP'!C20:H20,TRANSPOSE(F6:F11))</f>
        <v>#VALUE!</v>
      </c>
      <c r="G31" s="81" t="e">
        <f>SUMPRODUCT('Perhitungan MFEP'!C20:H20,TRANSPOSE(G6:G11))</f>
        <v>#VALUE!</v>
      </c>
      <c r="H31" s="81" t="e">
        <f>SUMPRODUCT('Perhitungan MFEP'!C20:H20,TRANSPOSE(H6:H11))</f>
        <v>#VALUE!</v>
      </c>
      <c r="I31" s="81" t="e">
        <f>SUMPRODUCT('Perhitungan MFEP'!C20:H20,TRANSPOSE(I6:I11))</f>
        <v>#VALUE!</v>
      </c>
      <c r="J31" s="81" t="e">
        <f>SUMPRODUCT('Perhitungan MFEP'!C20:H20,TRANSPOSE(J6:J11))</f>
        <v>#VALUE!</v>
      </c>
      <c r="K31" s="81" t="e">
        <f>SUMPRODUCT('Perhitungan MFEP'!C20:H20,TRANSPOSE(K6:K11))</f>
        <v>#VALUE!</v>
      </c>
      <c r="L31" s="77" t="e">
        <f t="shared" si="1"/>
        <v>#VALUE!</v>
      </c>
      <c r="M31" s="78" t="e">
        <f t="shared" si="2"/>
        <v>#VALUE!</v>
      </c>
      <c r="N31" s="79" t="e">
        <f t="shared" si="3"/>
        <v>#VALUE!</v>
      </c>
      <c r="O31" s="82" t="e">
        <f t="shared" si="4"/>
        <v>#VALUE!</v>
      </c>
    </row>
    <row r="32" spans="1:15" ht="21.75" customHeight="1" x14ac:dyDescent="0.25">
      <c r="A32" s="18" t="s">
        <v>143</v>
      </c>
      <c r="B32" s="46" t="s">
        <v>144</v>
      </c>
      <c r="C32" s="75">
        <f>'Perhitungan MFEP'!P21</f>
        <v>17</v>
      </c>
      <c r="D32" s="76" t="e">
        <f>SUMPRODUCT('Perhitungan MFEP'!C21:H21,TRANSPOSE(D6:D11))</f>
        <v>#VALUE!</v>
      </c>
      <c r="E32" s="76" t="e">
        <f>SUMPRODUCT('Perhitungan MFEP'!C21:H21,TRANSPOSE(E6:E11))</f>
        <v>#VALUE!</v>
      </c>
      <c r="F32" s="76" t="e">
        <f>SUMPRODUCT('Perhitungan MFEP'!C21:H21,TRANSPOSE(F6:F11))</f>
        <v>#VALUE!</v>
      </c>
      <c r="G32" s="76" t="e">
        <f>SUMPRODUCT('Perhitungan MFEP'!C21:H21,TRANSPOSE(G6:G11))</f>
        <v>#VALUE!</v>
      </c>
      <c r="H32" s="76" t="e">
        <f>SUMPRODUCT('Perhitungan MFEP'!C21:H21,TRANSPOSE(H6:H11))</f>
        <v>#VALUE!</v>
      </c>
      <c r="I32" s="76" t="e">
        <f>SUMPRODUCT('Perhitungan MFEP'!C21:H21,TRANSPOSE(I6:I11))</f>
        <v>#VALUE!</v>
      </c>
      <c r="J32" s="76" t="e">
        <f>SUMPRODUCT('Perhitungan MFEP'!C21:H21,TRANSPOSE(J6:J11))</f>
        <v>#VALUE!</v>
      </c>
      <c r="K32" s="76" t="e">
        <f>SUMPRODUCT('Perhitungan MFEP'!C21:H21,TRANSPOSE(K6:K11))</f>
        <v>#VALUE!</v>
      </c>
      <c r="L32" s="77" t="e">
        <f t="shared" si="1"/>
        <v>#VALUE!</v>
      </c>
      <c r="M32" s="78" t="e">
        <f t="shared" si="2"/>
        <v>#VALUE!</v>
      </c>
      <c r="N32" s="79" t="e">
        <f t="shared" si="3"/>
        <v>#VALUE!</v>
      </c>
      <c r="O32" s="80" t="e">
        <f t="shared" si="4"/>
        <v>#VALUE!</v>
      </c>
    </row>
    <row r="33" spans="1:15" ht="21.75" customHeight="1" x14ac:dyDescent="0.25">
      <c r="A33" s="18" t="s">
        <v>146</v>
      </c>
      <c r="B33" s="24" t="s">
        <v>147</v>
      </c>
      <c r="C33" s="75">
        <f>'Perhitungan MFEP'!P22</f>
        <v>9</v>
      </c>
      <c r="D33" s="81" t="e">
        <f>SUMPRODUCT('Perhitungan MFEP'!C22:H22,TRANSPOSE(D6:D11))</f>
        <v>#VALUE!</v>
      </c>
      <c r="E33" s="81" t="e">
        <f>SUMPRODUCT('Perhitungan MFEP'!C22:H22,TRANSPOSE(E6:E11))</f>
        <v>#VALUE!</v>
      </c>
      <c r="F33" s="81" t="e">
        <f>SUMPRODUCT('Perhitungan MFEP'!C22:H22,TRANSPOSE(F6:F11))</f>
        <v>#VALUE!</v>
      </c>
      <c r="G33" s="81" t="e">
        <f>SUMPRODUCT('Perhitungan MFEP'!C22:H22,TRANSPOSE(G6:G11))</f>
        <v>#VALUE!</v>
      </c>
      <c r="H33" s="81" t="e">
        <f>SUMPRODUCT('Perhitungan MFEP'!C22:H22,TRANSPOSE(H6:H11))</f>
        <v>#VALUE!</v>
      </c>
      <c r="I33" s="81" t="e">
        <f>SUMPRODUCT('Perhitungan MFEP'!C22:H22,TRANSPOSE(I6:I11))</f>
        <v>#VALUE!</v>
      </c>
      <c r="J33" s="81" t="e">
        <f>SUMPRODUCT('Perhitungan MFEP'!C22:H22,TRANSPOSE(J6:J11))</f>
        <v>#VALUE!</v>
      </c>
      <c r="K33" s="81" t="e">
        <f>SUMPRODUCT('Perhitungan MFEP'!C22:H22,TRANSPOSE(K6:K11))</f>
        <v>#VALUE!</v>
      </c>
      <c r="L33" s="77" t="e">
        <f t="shared" si="1"/>
        <v>#VALUE!</v>
      </c>
      <c r="M33" s="78" t="e">
        <f t="shared" si="2"/>
        <v>#VALUE!</v>
      </c>
      <c r="N33" s="79" t="e">
        <f t="shared" si="3"/>
        <v>#VALUE!</v>
      </c>
      <c r="O33" s="82" t="e">
        <f t="shared" si="4"/>
        <v>#VALUE!</v>
      </c>
    </row>
    <row r="34" spans="1:15" ht="21.75" customHeight="1" x14ac:dyDescent="0.25">
      <c r="A34" s="18" t="s">
        <v>149</v>
      </c>
      <c r="B34" s="46" t="s">
        <v>150</v>
      </c>
      <c r="C34" s="75">
        <f>'Perhitungan MFEP'!P23</f>
        <v>6</v>
      </c>
      <c r="D34" s="76" t="e">
        <f>SUMPRODUCT('Perhitungan MFEP'!C23:H23,TRANSPOSE(D6:D11))</f>
        <v>#VALUE!</v>
      </c>
      <c r="E34" s="76" t="e">
        <f>SUMPRODUCT('Perhitungan MFEP'!C23:H23,TRANSPOSE(E6:E11))</f>
        <v>#VALUE!</v>
      </c>
      <c r="F34" s="76" t="e">
        <f>SUMPRODUCT('Perhitungan MFEP'!C23:H23,TRANSPOSE(F6:F11))</f>
        <v>#VALUE!</v>
      </c>
      <c r="G34" s="76" t="e">
        <f>SUMPRODUCT('Perhitungan MFEP'!C23:H23,TRANSPOSE(G6:G11))</f>
        <v>#VALUE!</v>
      </c>
      <c r="H34" s="76" t="e">
        <f>SUMPRODUCT('Perhitungan MFEP'!C23:H23,TRANSPOSE(H6:H11))</f>
        <v>#VALUE!</v>
      </c>
      <c r="I34" s="76" t="e">
        <f>SUMPRODUCT('Perhitungan MFEP'!C23:H23,TRANSPOSE(I6:I11))</f>
        <v>#VALUE!</v>
      </c>
      <c r="J34" s="76" t="e">
        <f>SUMPRODUCT('Perhitungan MFEP'!C23:H23,TRANSPOSE(J6:J11))</f>
        <v>#VALUE!</v>
      </c>
      <c r="K34" s="76" t="e">
        <f>SUMPRODUCT('Perhitungan MFEP'!C23:H23,TRANSPOSE(K6:K11))</f>
        <v>#VALUE!</v>
      </c>
      <c r="L34" s="77" t="e">
        <f t="shared" si="1"/>
        <v>#VALUE!</v>
      </c>
      <c r="M34" s="78" t="e">
        <f t="shared" si="2"/>
        <v>#VALUE!</v>
      </c>
      <c r="N34" s="79" t="e">
        <f t="shared" si="3"/>
        <v>#VALUE!</v>
      </c>
      <c r="O34" s="80" t="e">
        <f t="shared" si="4"/>
        <v>#VALUE!</v>
      </c>
    </row>
    <row r="35" spans="1:15" ht="21.75" customHeight="1" x14ac:dyDescent="0.25">
      <c r="A35" s="18" t="s">
        <v>152</v>
      </c>
      <c r="B35" s="24" t="s">
        <v>153</v>
      </c>
      <c r="C35" s="75">
        <f>'Perhitungan MFEP'!P24</f>
        <v>4</v>
      </c>
      <c r="D35" s="81" t="e">
        <f>SUMPRODUCT('Perhitungan MFEP'!C24:H24,TRANSPOSE(D6:D11))</f>
        <v>#VALUE!</v>
      </c>
      <c r="E35" s="81" t="e">
        <f>SUMPRODUCT('Perhitungan MFEP'!C24:H24,TRANSPOSE(E6:E11))</f>
        <v>#VALUE!</v>
      </c>
      <c r="F35" s="81" t="e">
        <f>SUMPRODUCT('Perhitungan MFEP'!C24:H24,TRANSPOSE(F6:F11))</f>
        <v>#VALUE!</v>
      </c>
      <c r="G35" s="81" t="e">
        <f>SUMPRODUCT('Perhitungan MFEP'!C24:H24,TRANSPOSE(G6:G11))</f>
        <v>#VALUE!</v>
      </c>
      <c r="H35" s="81" t="e">
        <f>SUMPRODUCT('Perhitungan MFEP'!C24:H24,TRANSPOSE(H6:H11))</f>
        <v>#VALUE!</v>
      </c>
      <c r="I35" s="81" t="e">
        <f>SUMPRODUCT('Perhitungan MFEP'!C24:H24,TRANSPOSE(I6:I11))</f>
        <v>#VALUE!</v>
      </c>
      <c r="J35" s="81" t="e">
        <f>SUMPRODUCT('Perhitungan MFEP'!C24:H24,TRANSPOSE(J6:J11))</f>
        <v>#VALUE!</v>
      </c>
      <c r="K35" s="81" t="e">
        <f>SUMPRODUCT('Perhitungan MFEP'!C24:H24,TRANSPOSE(K6:K11))</f>
        <v>#VALUE!</v>
      </c>
      <c r="L35" s="77" t="e">
        <f t="shared" si="1"/>
        <v>#VALUE!</v>
      </c>
      <c r="M35" s="78" t="e">
        <f t="shared" si="2"/>
        <v>#VALUE!</v>
      </c>
      <c r="N35" s="79" t="e">
        <f t="shared" si="3"/>
        <v>#VALUE!</v>
      </c>
      <c r="O35" s="82" t="e">
        <f t="shared" si="4"/>
        <v>#VALUE!</v>
      </c>
    </row>
  </sheetData>
  <mergeCells count="4">
    <mergeCell ref="A1:O1"/>
    <mergeCell ref="A2:O2"/>
    <mergeCell ref="A4:O4"/>
    <mergeCell ref="A14:O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2"/>
  <sheetViews>
    <sheetView zoomScaleNormal="100" workbookViewId="0"/>
  </sheetViews>
  <sheetFormatPr defaultColWidth="8.7109375" defaultRowHeight="15" x14ac:dyDescent="0.25"/>
  <cols>
    <col min="1" max="1" width="6" customWidth="1"/>
    <col min="2" max="2" width="32" customWidth="1"/>
    <col min="3" max="4" width="12" customWidth="1"/>
    <col min="5" max="5" width="20" customWidth="1"/>
    <col min="6" max="7" width="22" customWidth="1"/>
    <col min="8" max="8" width="20" customWidth="1"/>
  </cols>
  <sheetData>
    <row r="1" spans="1:8" ht="39.75" customHeight="1" x14ac:dyDescent="0.25">
      <c r="A1" s="117" t="s">
        <v>209</v>
      </c>
      <c r="B1" s="117"/>
      <c r="C1" s="117"/>
      <c r="D1" s="117"/>
      <c r="E1" s="117"/>
      <c r="F1" s="117"/>
      <c r="G1" s="117"/>
      <c r="H1" s="117"/>
    </row>
    <row r="3" spans="1:8" ht="21.75" customHeight="1" x14ac:dyDescent="0.25">
      <c r="A3" s="12" t="s">
        <v>210</v>
      </c>
      <c r="B3" s="12"/>
      <c r="C3" s="12"/>
      <c r="D3" s="12"/>
      <c r="E3" s="12"/>
      <c r="F3" s="12"/>
      <c r="G3" s="12"/>
      <c r="H3" s="12"/>
    </row>
    <row r="4" spans="1:8" ht="39.75" customHeight="1" x14ac:dyDescent="0.25">
      <c r="A4" s="45" t="s">
        <v>211</v>
      </c>
      <c r="B4" s="45" t="s">
        <v>87</v>
      </c>
      <c r="C4" s="45" t="s">
        <v>212</v>
      </c>
      <c r="D4" s="45" t="s">
        <v>173</v>
      </c>
      <c r="E4" s="45" t="s">
        <v>213</v>
      </c>
      <c r="F4" s="45" t="s">
        <v>214</v>
      </c>
      <c r="G4" s="45" t="s">
        <v>215</v>
      </c>
      <c r="H4" s="45" t="s">
        <v>216</v>
      </c>
    </row>
    <row r="5" spans="1:8" ht="31.5" customHeight="1" x14ac:dyDescent="0.25">
      <c r="A5" s="83">
        <f>'Perhitungan MFEP'!P5</f>
        <v>1</v>
      </c>
      <c r="B5" s="84" t="str">
        <f>'Perhitungan MFEP'!B5</f>
        <v>Timlo Sastro</v>
      </c>
      <c r="C5" s="85" t="str">
        <f>'Data Destinasi'!A4</f>
        <v>D01</v>
      </c>
      <c r="D5" s="86">
        <f>'Perhitungan MFEP'!O5</f>
        <v>0.96000000000000019</v>
      </c>
      <c r="E5" s="87" t="s">
        <v>217</v>
      </c>
      <c r="F5" s="88" t="s">
        <v>218</v>
      </c>
      <c r="G5" s="88" t="s">
        <v>219</v>
      </c>
      <c r="H5" s="88" t="s">
        <v>220</v>
      </c>
    </row>
    <row r="6" spans="1:8" ht="31.5" customHeight="1" x14ac:dyDescent="0.25">
      <c r="A6" s="83">
        <f>'Perhitungan MFEP'!P6</f>
        <v>2</v>
      </c>
      <c r="B6" s="84" t="str">
        <f>'Perhitungan MFEP'!B6</f>
        <v>Nasi Liwet Bu Wongso Lemu</v>
      </c>
      <c r="C6" s="85" t="str">
        <f>'Data Destinasi'!A5</f>
        <v>D02</v>
      </c>
      <c r="D6" s="86">
        <f>'Perhitungan MFEP'!O6</f>
        <v>0.93000000000000016</v>
      </c>
      <c r="E6" s="87" t="s">
        <v>217</v>
      </c>
      <c r="F6" s="88" t="s">
        <v>221</v>
      </c>
      <c r="G6" s="88" t="s">
        <v>222</v>
      </c>
      <c r="H6" s="88" t="s">
        <v>223</v>
      </c>
    </row>
    <row r="7" spans="1:8" ht="31.5" customHeight="1" x14ac:dyDescent="0.25">
      <c r="A7" s="83">
        <f>'Perhitungan MFEP'!P7</f>
        <v>6</v>
      </c>
      <c r="B7" s="84" t="str">
        <f>'Perhitungan MFEP'!B7</f>
        <v>Selat Solo Mbak Lies</v>
      </c>
      <c r="C7" s="85" t="str">
        <f>'Data Destinasi'!A6</f>
        <v>D03</v>
      </c>
      <c r="D7" s="86">
        <f>'Perhitungan MFEP'!O7</f>
        <v>0.89000000000000012</v>
      </c>
      <c r="E7" s="87" t="s">
        <v>217</v>
      </c>
      <c r="F7" s="88" t="s">
        <v>224</v>
      </c>
      <c r="G7" s="88" t="s">
        <v>225</v>
      </c>
      <c r="H7" s="88" t="s">
        <v>226</v>
      </c>
    </row>
    <row r="8" spans="1:8" ht="31.5" customHeight="1" x14ac:dyDescent="0.25">
      <c r="A8" s="89">
        <f>'Perhitungan MFEP'!P8</f>
        <v>12</v>
      </c>
      <c r="B8" s="90" t="str">
        <f>'Perhitungan MFEP'!B8</f>
        <v>Soto Gading</v>
      </c>
      <c r="C8" s="91" t="str">
        <f>'Data Destinasi'!A7</f>
        <v>D04</v>
      </c>
      <c r="D8" s="92">
        <f>'Perhitungan MFEP'!O8</f>
        <v>0.81</v>
      </c>
      <c r="E8" s="93" t="s">
        <v>227</v>
      </c>
      <c r="F8" s="94" t="s">
        <v>228</v>
      </c>
      <c r="G8" s="94" t="s">
        <v>229</v>
      </c>
      <c r="H8" s="94" t="s">
        <v>230</v>
      </c>
    </row>
    <row r="9" spans="1:8" ht="31.5" customHeight="1" x14ac:dyDescent="0.25">
      <c r="A9" s="89">
        <f>'Perhitungan MFEP'!P9</f>
        <v>14</v>
      </c>
      <c r="B9" s="90" t="str">
        <f>'Perhitungan MFEP'!B9</f>
        <v>Wedangan Jadul Pak Gareng</v>
      </c>
      <c r="C9" s="91" t="str">
        <f>'Data Destinasi'!A8</f>
        <v>D05</v>
      </c>
      <c r="D9" s="92">
        <f>'Perhitungan MFEP'!O9</f>
        <v>0.8</v>
      </c>
      <c r="E9" s="93" t="s">
        <v>227</v>
      </c>
      <c r="F9" s="94" t="s">
        <v>231</v>
      </c>
      <c r="G9" s="94" t="s">
        <v>232</v>
      </c>
      <c r="H9" s="94" t="s">
        <v>233</v>
      </c>
    </row>
    <row r="10" spans="1:8" ht="31.5" customHeight="1" x14ac:dyDescent="0.25">
      <c r="A10" s="89">
        <f>'Perhitungan MFEP'!P10</f>
        <v>5</v>
      </c>
      <c r="B10" s="90" t="str">
        <f>'Perhitungan MFEP'!B10</f>
        <v>Pasar Gede – Zona Kuliner</v>
      </c>
      <c r="C10" s="91" t="str">
        <f>'Data Destinasi'!A9</f>
        <v>D06</v>
      </c>
      <c r="D10" s="92">
        <f>'Perhitungan MFEP'!O10</f>
        <v>0.91</v>
      </c>
      <c r="E10" s="93" t="s">
        <v>227</v>
      </c>
      <c r="F10" s="94" t="s">
        <v>234</v>
      </c>
      <c r="G10" s="94" t="s">
        <v>235</v>
      </c>
      <c r="H10" s="94" t="s">
        <v>236</v>
      </c>
    </row>
    <row r="11" spans="1:8" ht="31.5" customHeight="1" x14ac:dyDescent="0.25">
      <c r="A11" s="95">
        <f>'Perhitungan MFEP'!P11</f>
        <v>17</v>
      </c>
      <c r="B11" s="96" t="str">
        <f>'Perhitungan MFEP'!B11</f>
        <v>Nasi Gudeg Bu Semi</v>
      </c>
      <c r="C11" s="97" t="str">
        <f>'Data Destinasi'!A10</f>
        <v>D07</v>
      </c>
      <c r="D11" s="98">
        <f>'Perhitungan MFEP'!O11</f>
        <v>0.76000000000000023</v>
      </c>
      <c r="E11" s="99" t="s">
        <v>237</v>
      </c>
      <c r="F11" s="100" t="s">
        <v>238</v>
      </c>
      <c r="G11" s="100" t="s">
        <v>239</v>
      </c>
      <c r="H11" s="100" t="s">
        <v>240</v>
      </c>
    </row>
    <row r="12" spans="1:8" ht="31.5" customHeight="1" x14ac:dyDescent="0.25">
      <c r="A12" s="95">
        <f>'Perhitungan MFEP'!P12</f>
        <v>6</v>
      </c>
      <c r="B12" s="96" t="str">
        <f>'Perhitungan MFEP'!B12</f>
        <v>Dawet Telasih Bu Dermi</v>
      </c>
      <c r="C12" s="97" t="str">
        <f>'Data Destinasi'!A11</f>
        <v>D08</v>
      </c>
      <c r="D12" s="98">
        <f>'Perhitungan MFEP'!O12</f>
        <v>0.89000000000000012</v>
      </c>
      <c r="E12" s="99" t="s">
        <v>237</v>
      </c>
      <c r="F12" s="100" t="s">
        <v>241</v>
      </c>
      <c r="G12" s="100" t="s">
        <v>242</v>
      </c>
      <c r="H12" s="100" t="s">
        <v>243</v>
      </c>
    </row>
    <row r="13" spans="1:8" ht="31.5" customHeight="1" x14ac:dyDescent="0.25">
      <c r="A13" s="95">
        <f>'Perhitungan MFEP'!P13</f>
        <v>20</v>
      </c>
      <c r="B13" s="96" t="str">
        <f>'Perhitungan MFEP'!B13</f>
        <v>Intip Goreng Pak Slamet</v>
      </c>
      <c r="C13" s="97" t="str">
        <f>'Data Destinasi'!A12</f>
        <v>D09</v>
      </c>
      <c r="D13" s="98">
        <f>'Perhitungan MFEP'!O13</f>
        <v>0.76</v>
      </c>
      <c r="E13" s="99" t="s">
        <v>237</v>
      </c>
      <c r="F13" s="100" t="s">
        <v>244</v>
      </c>
      <c r="G13" s="100" t="s">
        <v>245</v>
      </c>
      <c r="H13" s="100" t="s">
        <v>246</v>
      </c>
    </row>
    <row r="14" spans="1:8" ht="31.5" customHeight="1" x14ac:dyDescent="0.25">
      <c r="A14" s="95">
        <f>'Perhitungan MFEP'!P14</f>
        <v>12</v>
      </c>
      <c r="B14" s="96" t="str">
        <f>'Perhitungan MFEP'!B14</f>
        <v>Sate Buntel Mbok Galak</v>
      </c>
      <c r="C14" s="97" t="str">
        <f>'Data Destinasi'!A13</f>
        <v>D10</v>
      </c>
      <c r="D14" s="98">
        <f>'Perhitungan MFEP'!O14</f>
        <v>0.81</v>
      </c>
      <c r="E14" s="99" t="s">
        <v>237</v>
      </c>
      <c r="F14" s="100" t="s">
        <v>247</v>
      </c>
      <c r="G14" s="100" t="s">
        <v>248</v>
      </c>
      <c r="H14" s="100" t="s">
        <v>249</v>
      </c>
    </row>
    <row r="15" spans="1:8" ht="31.5" customHeight="1" x14ac:dyDescent="0.25">
      <c r="A15" s="101">
        <f>'Perhitungan MFEP'!P15</f>
        <v>2</v>
      </c>
      <c r="B15" s="102" t="str">
        <f>'Perhitungan MFEP'!B15</f>
        <v>Tengkleng Bu Edi</v>
      </c>
      <c r="C15" s="103" t="str">
        <f>'Data Destinasi'!A14</f>
        <v>D11</v>
      </c>
      <c r="D15" s="104">
        <f>'Perhitungan MFEP'!O15</f>
        <v>0.93000000000000016</v>
      </c>
      <c r="E15" s="105" t="s">
        <v>250</v>
      </c>
      <c r="F15" s="106" t="s">
        <v>251</v>
      </c>
      <c r="G15" s="106" t="s">
        <v>252</v>
      </c>
      <c r="H15" s="106" t="s">
        <v>253</v>
      </c>
    </row>
    <row r="16" spans="1:8" ht="31.5" customHeight="1" x14ac:dyDescent="0.25">
      <c r="A16" s="101">
        <f>'Perhitungan MFEP'!P16</f>
        <v>14</v>
      </c>
      <c r="B16" s="102" t="str">
        <f>'Perhitungan MFEP'!B16</f>
        <v>Cabuk Rambak Pak Birin</v>
      </c>
      <c r="C16" s="103" t="str">
        <f>'Data Destinasi'!A15</f>
        <v>D12</v>
      </c>
      <c r="D16" s="104">
        <f>'Perhitungan MFEP'!O16</f>
        <v>0.8</v>
      </c>
      <c r="E16" s="105" t="s">
        <v>250</v>
      </c>
      <c r="F16" s="106" t="s">
        <v>254</v>
      </c>
      <c r="G16" s="106" t="s">
        <v>255</v>
      </c>
      <c r="H16" s="106" t="s">
        <v>256</v>
      </c>
    </row>
    <row r="17" spans="1:8" ht="31.5" customHeight="1" x14ac:dyDescent="0.25">
      <c r="A17" s="101">
        <f>'Perhitungan MFEP'!P17</f>
        <v>17</v>
      </c>
      <c r="B17" s="102" t="str">
        <f>'Perhitungan MFEP'!B17</f>
        <v>Roti Mandarin Orion</v>
      </c>
      <c r="C17" s="103" t="str">
        <f>'Data Destinasi'!A16</f>
        <v>D13</v>
      </c>
      <c r="D17" s="104">
        <f>'Perhitungan MFEP'!O17</f>
        <v>0.76000000000000023</v>
      </c>
      <c r="E17" s="105" t="s">
        <v>250</v>
      </c>
      <c r="F17" s="106" t="s">
        <v>257</v>
      </c>
      <c r="G17" s="106" t="s">
        <v>258</v>
      </c>
      <c r="H17" s="106" t="s">
        <v>259</v>
      </c>
    </row>
    <row r="18" spans="1:8" ht="31.5" customHeight="1" x14ac:dyDescent="0.25">
      <c r="A18" s="101">
        <f>'Perhitungan MFEP'!P18</f>
        <v>16</v>
      </c>
      <c r="B18" s="102" t="str">
        <f>'Perhitungan MFEP'!B18</f>
        <v>Wedang Ronde Pak Min</v>
      </c>
      <c r="C18" s="103" t="str">
        <f>'Data Destinasi'!A17</f>
        <v>D14</v>
      </c>
      <c r="D18" s="104">
        <f>'Perhitungan MFEP'!O18</f>
        <v>0.78000000000000025</v>
      </c>
      <c r="E18" s="105" t="s">
        <v>250</v>
      </c>
      <c r="F18" s="106" t="s">
        <v>260</v>
      </c>
      <c r="G18" s="106" t="s">
        <v>261</v>
      </c>
      <c r="H18" s="106" t="s">
        <v>262</v>
      </c>
    </row>
    <row r="19" spans="1:8" ht="31.5" customHeight="1" x14ac:dyDescent="0.25">
      <c r="A19" s="101">
        <f>'Perhitungan MFEP'!P19</f>
        <v>11</v>
      </c>
      <c r="B19" s="102" t="str">
        <f>'Perhitungan MFEP'!B19</f>
        <v>Jenang Mirah</v>
      </c>
      <c r="C19" s="103" t="str">
        <f>'Data Destinasi'!A18</f>
        <v>D15</v>
      </c>
      <c r="D19" s="104">
        <f>'Perhitungan MFEP'!O19</f>
        <v>0.82000000000000006</v>
      </c>
      <c r="E19" s="105" t="s">
        <v>250</v>
      </c>
      <c r="F19" s="106" t="s">
        <v>263</v>
      </c>
      <c r="G19" s="106" t="s">
        <v>264</v>
      </c>
      <c r="H19" s="106" t="s">
        <v>265</v>
      </c>
    </row>
    <row r="20" spans="1:8" ht="31.5" customHeight="1" x14ac:dyDescent="0.25">
      <c r="A20" s="107">
        <f>'Perhitungan MFEP'!P20</f>
        <v>9</v>
      </c>
      <c r="B20" s="108" t="str">
        <f>'Perhitungan MFEP'!B20</f>
        <v>Gempol Pleret Bu Sari</v>
      </c>
      <c r="C20" s="109" t="str">
        <f>'Data Destinasi'!A19</f>
        <v>D16</v>
      </c>
      <c r="D20" s="110">
        <f>'Perhitungan MFEP'!O20</f>
        <v>0.84000000000000008</v>
      </c>
      <c r="E20" s="111" t="s">
        <v>266</v>
      </c>
      <c r="F20" s="112" t="s">
        <v>267</v>
      </c>
      <c r="G20" s="112" t="s">
        <v>268</v>
      </c>
      <c r="H20" s="112" t="s">
        <v>269</v>
      </c>
    </row>
    <row r="21" spans="1:8" ht="31.5" customHeight="1" x14ac:dyDescent="0.25">
      <c r="A21" s="107">
        <f>'Perhitungan MFEP'!P21</f>
        <v>17</v>
      </c>
      <c r="B21" s="108" t="str">
        <f>'Perhitungan MFEP'!B21</f>
        <v>Sego Pecel Bu Tun</v>
      </c>
      <c r="C21" s="109" t="str">
        <f>'Data Destinasi'!A20</f>
        <v>D17</v>
      </c>
      <c r="D21" s="110">
        <f>'Perhitungan MFEP'!O21</f>
        <v>0.76000000000000023</v>
      </c>
      <c r="E21" s="111" t="s">
        <v>266</v>
      </c>
      <c r="F21" s="112" t="s">
        <v>270</v>
      </c>
      <c r="G21" s="112" t="s">
        <v>271</v>
      </c>
      <c r="H21" s="112" t="s">
        <v>272</v>
      </c>
    </row>
    <row r="22" spans="1:8" ht="31.5" customHeight="1" x14ac:dyDescent="0.25">
      <c r="A22" s="107">
        <f>'Perhitungan MFEP'!P22</f>
        <v>9</v>
      </c>
      <c r="B22" s="108" t="str">
        <f>'Perhitungan MFEP'!B22</f>
        <v>Garang Asem Bu Sulastri</v>
      </c>
      <c r="C22" s="109" t="str">
        <f>'Data Destinasi'!A21</f>
        <v>D18</v>
      </c>
      <c r="D22" s="110">
        <f>'Perhitungan MFEP'!O22</f>
        <v>0.84000000000000008</v>
      </c>
      <c r="E22" s="111" t="s">
        <v>266</v>
      </c>
      <c r="F22" s="112" t="s">
        <v>273</v>
      </c>
      <c r="G22" s="112" t="s">
        <v>274</v>
      </c>
      <c r="H22" s="112" t="s">
        <v>275</v>
      </c>
    </row>
    <row r="23" spans="1:8" ht="31.5" customHeight="1" x14ac:dyDescent="0.25">
      <c r="A23" s="107">
        <f>'Perhitungan MFEP'!P23</f>
        <v>6</v>
      </c>
      <c r="B23" s="108" t="str">
        <f>'Perhitungan MFEP'!B23</f>
        <v>Bestik Jawa Pak Maryanto</v>
      </c>
      <c r="C23" s="109" t="str">
        <f>'Data Destinasi'!A22</f>
        <v>D19</v>
      </c>
      <c r="D23" s="110">
        <f>'Perhitungan MFEP'!O23</f>
        <v>0.89000000000000012</v>
      </c>
      <c r="E23" s="111" t="s">
        <v>266</v>
      </c>
      <c r="F23" s="112" t="s">
        <v>276</v>
      </c>
      <c r="G23" s="112" t="s">
        <v>277</v>
      </c>
      <c r="H23" s="112" t="s">
        <v>278</v>
      </c>
    </row>
    <row r="24" spans="1:8" ht="31.5" customHeight="1" x14ac:dyDescent="0.25">
      <c r="A24" s="107">
        <f>'Perhitungan MFEP'!P24</f>
        <v>4</v>
      </c>
      <c r="B24" s="108" t="str">
        <f>'Perhitungan MFEP'!B24</f>
        <v>Pasar Triwindu – Kuliner Heritage</v>
      </c>
      <c r="C24" s="109" t="str">
        <f>'Data Destinasi'!A23</f>
        <v>D20</v>
      </c>
      <c r="D24" s="110">
        <f>'Perhitungan MFEP'!O24</f>
        <v>0.91999999999999993</v>
      </c>
      <c r="E24" s="111" t="s">
        <v>266</v>
      </c>
      <c r="F24" s="112" t="s">
        <v>279</v>
      </c>
      <c r="G24" s="112" t="s">
        <v>280</v>
      </c>
      <c r="H24" s="112" t="s">
        <v>281</v>
      </c>
    </row>
    <row r="26" spans="1:8" ht="21.75" customHeight="1" x14ac:dyDescent="0.25">
      <c r="A26" s="12" t="s">
        <v>282</v>
      </c>
      <c r="B26" s="12"/>
      <c r="C26" s="12"/>
      <c r="D26" s="12"/>
      <c r="E26" s="12"/>
      <c r="F26" s="12"/>
      <c r="G26" s="12"/>
      <c r="H26" s="12"/>
    </row>
    <row r="27" spans="1:8" ht="24.75" customHeight="1" x14ac:dyDescent="0.25">
      <c r="A27" s="87" t="s">
        <v>217</v>
      </c>
      <c r="B27" s="118" t="s">
        <v>283</v>
      </c>
      <c r="C27" s="118"/>
      <c r="D27" s="118"/>
      <c r="E27" s="118"/>
      <c r="F27" s="118"/>
      <c r="G27" s="118"/>
      <c r="H27" s="118"/>
    </row>
    <row r="28" spans="1:8" ht="24.75" customHeight="1" x14ac:dyDescent="0.25">
      <c r="A28" s="93" t="s">
        <v>227</v>
      </c>
      <c r="B28" s="119" t="s">
        <v>284</v>
      </c>
      <c r="C28" s="119"/>
      <c r="D28" s="119"/>
      <c r="E28" s="119"/>
      <c r="F28" s="119"/>
      <c r="G28" s="119"/>
      <c r="H28" s="119"/>
    </row>
    <row r="29" spans="1:8" ht="24.75" customHeight="1" x14ac:dyDescent="0.25">
      <c r="A29" s="99" t="s">
        <v>237</v>
      </c>
      <c r="B29" s="120" t="s">
        <v>285</v>
      </c>
      <c r="C29" s="120"/>
      <c r="D29" s="120"/>
      <c r="E29" s="120"/>
      <c r="F29" s="120"/>
      <c r="G29" s="120"/>
      <c r="H29" s="120"/>
    </row>
    <row r="30" spans="1:8" ht="24.75" customHeight="1" x14ac:dyDescent="0.25">
      <c r="A30" s="105" t="s">
        <v>250</v>
      </c>
      <c r="B30" s="121" t="s">
        <v>286</v>
      </c>
      <c r="C30" s="121"/>
      <c r="D30" s="121"/>
      <c r="E30" s="121"/>
      <c r="F30" s="121"/>
      <c r="G30" s="121"/>
      <c r="H30" s="121"/>
    </row>
    <row r="31" spans="1:8" ht="24.75" customHeight="1" x14ac:dyDescent="0.25">
      <c r="A31" s="111" t="s">
        <v>266</v>
      </c>
      <c r="B31" s="122" t="s">
        <v>287</v>
      </c>
      <c r="C31" s="122"/>
      <c r="D31" s="122"/>
      <c r="E31" s="122"/>
      <c r="F31" s="122"/>
      <c r="G31" s="122"/>
      <c r="H31" s="122"/>
    </row>
    <row r="33" spans="1:8" ht="21.75" customHeight="1" x14ac:dyDescent="0.25">
      <c r="A33" s="12" t="s">
        <v>288</v>
      </c>
      <c r="B33" s="12"/>
      <c r="C33" s="12"/>
      <c r="D33" s="12"/>
      <c r="E33" s="12"/>
      <c r="F33" s="12"/>
      <c r="G33" s="12"/>
      <c r="H33" s="12"/>
    </row>
    <row r="34" spans="1:8" ht="23.85" customHeight="1" x14ac:dyDescent="0.25">
      <c r="A34" s="113" t="s">
        <v>289</v>
      </c>
      <c r="B34" s="113" t="s">
        <v>67</v>
      </c>
      <c r="C34" s="123" t="s">
        <v>290</v>
      </c>
      <c r="D34" s="123"/>
      <c r="E34" s="123"/>
      <c r="F34" s="123"/>
      <c r="G34" s="123"/>
      <c r="H34" s="123"/>
    </row>
    <row r="35" spans="1:8" ht="21.75" customHeight="1" x14ac:dyDescent="0.25">
      <c r="A35" s="20" t="s">
        <v>291</v>
      </c>
      <c r="B35" s="114">
        <f>COUNTA('Data Destinasi'!B4:B23)</f>
        <v>20</v>
      </c>
      <c r="C35" s="124" t="s">
        <v>292</v>
      </c>
      <c r="D35" s="124"/>
      <c r="E35" s="124"/>
      <c r="F35" s="124"/>
      <c r="G35" s="124"/>
      <c r="H35" s="124"/>
    </row>
    <row r="36" spans="1:8" ht="21.75" customHeight="1" x14ac:dyDescent="0.25">
      <c r="A36" s="24" t="s">
        <v>293</v>
      </c>
      <c r="B36" s="115">
        <f>MAX('Perhitungan MFEP'!O5:O24)</f>
        <v>0.96000000000000019</v>
      </c>
      <c r="C36" s="125" t="s">
        <v>294</v>
      </c>
      <c r="D36" s="125"/>
      <c r="E36" s="125"/>
      <c r="F36" s="125"/>
      <c r="G36" s="125"/>
      <c r="H36" s="125"/>
    </row>
    <row r="37" spans="1:8" ht="21.75" customHeight="1" x14ac:dyDescent="0.25">
      <c r="A37" s="20" t="s">
        <v>295</v>
      </c>
      <c r="B37" s="115">
        <f>MIN('Perhitungan MFEP'!O5:O24)</f>
        <v>0.76</v>
      </c>
      <c r="C37" s="124" t="s">
        <v>296</v>
      </c>
      <c r="D37" s="124"/>
      <c r="E37" s="124"/>
      <c r="F37" s="124"/>
      <c r="G37" s="124"/>
      <c r="H37" s="124"/>
    </row>
    <row r="38" spans="1:8" ht="21.75" customHeight="1" x14ac:dyDescent="0.25">
      <c r="A38" s="24" t="s">
        <v>297</v>
      </c>
      <c r="B38" s="115">
        <f>AVERAGE('Perhitungan MFEP'!O5:O24)</f>
        <v>0.84300000000000019</v>
      </c>
      <c r="C38" s="125" t="s">
        <v>298</v>
      </c>
      <c r="D38" s="125"/>
      <c r="E38" s="125"/>
      <c r="F38" s="125"/>
      <c r="G38" s="125"/>
      <c r="H38" s="125"/>
    </row>
    <row r="39" spans="1:8" ht="21.75" customHeight="1" x14ac:dyDescent="0.25">
      <c r="A39" s="20" t="s">
        <v>299</v>
      </c>
      <c r="B39" s="115">
        <f>STDEV('Perhitungan MFEP'!O5:O24)</f>
        <v>6.6419718061494493E-2</v>
      </c>
      <c r="C39" s="124" t="s">
        <v>300</v>
      </c>
      <c r="D39" s="124"/>
      <c r="E39" s="124"/>
      <c r="F39" s="124"/>
      <c r="G39" s="124"/>
      <c r="H39" s="124"/>
    </row>
    <row r="40" spans="1:8" ht="21.75" customHeight="1" x14ac:dyDescent="0.25">
      <c r="A40" s="24" t="s">
        <v>301</v>
      </c>
      <c r="B40" s="115">
        <f>COUNTIF(E5:E24,"Unggulan Heritage")</f>
        <v>3</v>
      </c>
      <c r="C40" s="125" t="s">
        <v>302</v>
      </c>
      <c r="D40" s="125"/>
      <c r="E40" s="125"/>
      <c r="F40" s="125"/>
      <c r="G40" s="125"/>
      <c r="H40" s="125"/>
    </row>
    <row r="42" spans="1:8" ht="45" customHeight="1" x14ac:dyDescent="0.25">
      <c r="A42" s="10" t="s">
        <v>303</v>
      </c>
      <c r="B42" s="10"/>
      <c r="C42" s="10"/>
      <c r="D42" s="10"/>
      <c r="E42" s="10"/>
      <c r="F42" s="10"/>
      <c r="G42" s="10"/>
      <c r="H42" s="10"/>
    </row>
  </sheetData>
  <mergeCells count="17">
    <mergeCell ref="C40:H40"/>
    <mergeCell ref="A42:H42"/>
    <mergeCell ref="C35:H35"/>
    <mergeCell ref="C36:H36"/>
    <mergeCell ref="C37:H37"/>
    <mergeCell ref="C38:H38"/>
    <mergeCell ref="C39:H39"/>
    <mergeCell ref="B29:H29"/>
    <mergeCell ref="B30:H30"/>
    <mergeCell ref="B31:H31"/>
    <mergeCell ref="A33:H33"/>
    <mergeCell ref="C34:H34"/>
    <mergeCell ref="A1:H1"/>
    <mergeCell ref="A3:H3"/>
    <mergeCell ref="A26:H26"/>
    <mergeCell ref="B27:H27"/>
    <mergeCell ref="B28:H2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&amp; Penjelasan</vt:lpstr>
      <vt:lpstr>Data Kriteria &amp; Bobot</vt:lpstr>
      <vt:lpstr>Data Destinasi</vt:lpstr>
      <vt:lpstr>Perhitungan MFEP</vt:lpstr>
      <vt:lpstr>Analisis Sensitivitas</vt:lpstr>
      <vt:lpstr>Hasil &amp; Rekomendasi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Angga</cp:lastModifiedBy>
  <cp:revision>0</cp:revision>
  <dcterms:created xsi:type="dcterms:W3CDTF">2026-05-10T12:27:40Z</dcterms:created>
  <dcterms:modified xsi:type="dcterms:W3CDTF">2026-05-10T12:33:11Z</dcterms:modified>
  <dc:language>en-US</dc:language>
</cp:coreProperties>
</file>